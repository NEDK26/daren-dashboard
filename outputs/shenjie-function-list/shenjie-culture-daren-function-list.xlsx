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560" activeTab="1"/>
  </bookViews>
  <sheets>
    <sheet name="功能总览" sheetId="1" r:id="rId1"/>
    <sheet name="功能清单" sheetId="2" r:id="rId2"/>
    <sheet name="待确认事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<sst xmlns="http://schemas.openxmlformats.org/spreadsheetml/2006/main" count="271" uniqueCount="171">
  <si>
    <t>甚杰文化达人管理系统｜功能清单</t>
  </si>
  <si>
    <t>业务范围：每月三角洲作者生态视频数据核对 + 每月三角洲作者生态结算数据核对</t>
  </si>
  <si>
    <t>系统名称</t>
  </si>
  <si>
    <t>甚杰文化达人管理系统</t>
  </si>
  <si>
    <t>清单版本</t>
  </si>
  <si>
    <t>V1.0</t>
  </si>
  <si>
    <t>整理日期</t>
  </si>
  <si>
    <t>2026-07-14</t>
  </si>
  <si>
    <t>需求编号</t>
  </si>
  <si>
    <t>需求名称</t>
  </si>
  <si>
    <t>当前状态</t>
  </si>
  <si>
    <t>已列功能数</t>
  </si>
  <si>
    <t>功能定位</t>
  </si>
  <si>
    <t>说明</t>
  </si>
  <si>
    <t>需求一</t>
  </si>
  <si>
    <t>每月三角洲作者生态视频数据核对模块</t>
  </si>
  <si>
    <t>已实现</t>
  </si>
  <si>
    <t>当前核心模块</t>
  </si>
  <si>
    <t>已支持管理员、达人账号、批次、日志、字段配置和错误数据修改</t>
  </si>
  <si>
    <t>需求二</t>
  </si>
  <si>
    <t>每月三角洲作者生态结算数据核对</t>
  </si>
  <si>
    <t>待开发</t>
  </si>
  <si>
    <t>下一阶段模块</t>
  </si>
  <si>
    <t>需确认结算字段、核对规则、差异处理和确认锁定流程</t>
  </si>
  <si>
    <t>状态统计</t>
  </si>
  <si>
    <t>状态</t>
  </si>
  <si>
    <t>功能数</t>
  </si>
  <si>
    <t>备注</t>
  </si>
  <si>
    <t>当前版本已交付</t>
  </si>
  <si>
    <t>下一阶段需求</t>
  </si>
  <si>
    <t>说明：本清单按当前需求描述整理，不包含人日、单价、小计等报价字段。需求二为待开发范围，具体字段、核对口径、差异处理和结算锁定规则需在产品确认后补充。</t>
  </si>
  <si>
    <t>功能明细｜视频数据核对与结算数据核对</t>
  </si>
  <si>
    <t>状态以当前系统版本和本次需求描述为准；“待开发”项不代表已交付</t>
  </si>
  <si>
    <t>系统</t>
  </si>
  <si>
    <t>业务对象</t>
  </si>
  <si>
    <t>三角洲作者生态</t>
  </si>
  <si>
    <t>当前版本</t>
  </si>
  <si>
    <t>视频核对已实现</t>
  </si>
  <si>
    <t>下一阶段</t>
  </si>
  <si>
    <t>结算核对待开发</t>
  </si>
  <si>
    <t>序号</t>
  </si>
  <si>
    <t>需求归属</t>
  </si>
  <si>
    <t>一级模块</t>
  </si>
  <si>
    <t>功能项</t>
  </si>
  <si>
    <t>功能说明 / 交付范围</t>
  </si>
  <si>
    <t>使用角色</t>
  </si>
  <si>
    <t>备注 / 边界</t>
  </si>
  <si>
    <t>需求一：视频数据核对</t>
  </si>
  <si>
    <t>账号与权限</t>
  </si>
  <si>
    <t>管理员账号与达人账号区分</t>
  </si>
  <si>
    <t>系统区分管理员账号和达人账号，进入不同功能范围。</t>
  </si>
  <si>
    <t>管理员/达人</t>
  </si>
  <si>
    <t>管理员负责系统配置和数据管理；达人仅处理本人数据</t>
  </si>
  <si>
    <t>管理员账号登录</t>
  </si>
  <si>
    <t>管理员登录系统后进入后台管理功能。</t>
  </si>
  <si>
    <t>管理员</t>
  </si>
  <si>
    <t/>
  </si>
  <si>
    <t>达人账号自动生成</t>
  </si>
  <si>
    <t>管理员导入数据核对表格时，系统按达人记录自动生成对应达人账号。</t>
  </si>
  <si>
    <t>账号生成规则和重复达人账号复用规则已存在</t>
  </si>
  <si>
    <t>密码错误 5 次锁定</t>
  </si>
  <si>
    <t>连续输错密码达到 5 次后锁定账号，降低暴力尝试风险。</t>
  </si>
  <si>
    <t>锁定后需按系统策略恢复或人工处理</t>
  </si>
  <si>
    <t>角色数据隔离</t>
  </si>
  <si>
    <t>达人只能查看和编辑本人对应的达人数据，管理员可查看全部数据。</t>
  </si>
  <si>
    <t>接口和页面均按角色限制</t>
  </si>
  <si>
    <t>批次管理</t>
  </si>
  <si>
    <t>月度批次创建</t>
  </si>
  <si>
    <t>按月创建三角洲作者生态视频数据核对批次。</t>
  </si>
  <si>
    <t>一个批次对应一份导入数据快照</t>
  </si>
  <si>
    <t>Excel 数据导入</t>
  </si>
  <si>
    <t>管理员上传视频数据核对表格，系统导入达人和视频记录。</t>
  </si>
  <si>
    <t>导入前进行表头和数据格式校验</t>
  </si>
  <si>
    <t>批次发布与历史留存</t>
  </si>
  <si>
    <t>导入后的批次经管理员发布后供达人核对，旧批次保留为历史记录。</t>
  </si>
  <si>
    <t>历史批次只读</t>
  </si>
  <si>
    <t>批次切换</t>
  </si>
  <si>
    <t>管理员可切换当前或历史批次查看数据，达人只能切换有本人数据的批次。</t>
  </si>
  <si>
    <t>不同批次数据不合并展示</t>
  </si>
  <si>
    <t>日志与配置</t>
  </si>
  <si>
    <t>操作日志</t>
  </si>
  <si>
    <t>记录数据修改的操作人、批次、字段新旧值和操作时间。</t>
  </si>
  <si>
    <t>管理员查看完整日志，达人查看本人相关日志</t>
  </si>
  <si>
    <t>可编辑字段配置</t>
  </si>
  <si>
    <t>管理员配置达人可以编辑的视频字段范围。</t>
  </si>
  <si>
    <t>配置对达人账号生效</t>
  </si>
  <si>
    <t>数据核对</t>
  </si>
  <si>
    <t>达人视频数据列表</t>
  </si>
  <si>
    <t>按达人展示视频数据，包括标题、链接、发布时间、播放互动、违规合规等信息。</t>
  </si>
  <si>
    <t>支持分页和数据明细查看</t>
  </si>
  <si>
    <t>达人编辑错误数据</t>
  </si>
  <si>
    <t>达人可以修改核对中发现的错误数据，保存后形成修改记录。</t>
  </si>
  <si>
    <t>达人</t>
  </si>
  <si>
    <t>核心功能；可编辑范围受管理员配置限制</t>
  </si>
  <si>
    <t>管理员修正数据</t>
  </si>
  <si>
    <t>管理员可直接修正当前批次的视频数据，包括违规和合规状态。</t>
  </si>
  <si>
    <t>历史批次保持只读</t>
  </si>
  <si>
    <t>截图上传与替换</t>
  </si>
  <si>
    <t>达人或管理员上传、替换播放量、点赞量等数据截图。</t>
  </si>
  <si>
    <t>截图和数据修改均进入核对记录</t>
  </si>
  <si>
    <t>确认与申诉状态</t>
  </si>
  <si>
    <t>达人完成核对后确认无误或提交申诉，管理员查看批次确认状态。</t>
  </si>
  <si>
    <t>状态包括待确认、已确认、已提交申诉</t>
  </si>
  <si>
    <t>达人分类与内容类型筛选</t>
  </si>
  <si>
    <t>管理员按当前批次实际存在的达人分类、内容类型筛选数据。</t>
  </si>
  <si>
    <t>筛选项从数据库去重生成</t>
  </si>
  <si>
    <t>数据导出</t>
  </si>
  <si>
    <t>视频核对数据导出</t>
  </si>
  <si>
    <t>管理员导出所选批次的完整视频核对数据。</t>
  </si>
  <si>
    <t>导出不受列表筛选影响</t>
  </si>
  <si>
    <t>截图嵌入单元格导出</t>
  </si>
  <si>
    <t>截图以 WPS 原生单元格图片形式写入导出表格。</t>
  </si>
  <si>
    <t>优先兼容 WPS；不是浮动图片</t>
  </si>
  <si>
    <t>需求二：结算数据核对</t>
  </si>
  <si>
    <t>结算批次</t>
  </si>
  <si>
    <t>月度结算批次管理</t>
  </si>
  <si>
    <t>按月创建三角洲作者生态结算数据核对批次，并保留历史批次。</t>
  </si>
  <si>
    <t>需确认结算周期、批次发布和历史留存规则</t>
  </si>
  <si>
    <t>结算数据导入</t>
  </si>
  <si>
    <t>结算数据表格导入</t>
  </si>
  <si>
    <t>导入作者结算数据，形成可供核对的结算明细。</t>
  </si>
  <si>
    <t>需确认结算表头、字段和数据来源</t>
  </si>
  <si>
    <t>结算数据核对</t>
  </si>
  <si>
    <t>作者结算明细查看</t>
  </si>
  <si>
    <t>达人查看本人结算金额、结算周期、作品或数据明细。</t>
  </si>
  <si>
    <t>需确认达人可见字段</t>
  </si>
  <si>
    <t>结算差异标记</t>
  </si>
  <si>
    <t>对比系统结算数据和作者反馈，标记金额或明细差异。</t>
  </si>
  <si>
    <t>需确认差异判断口径</t>
  </si>
  <si>
    <t>结算异常处理</t>
  </si>
  <si>
    <t>支持达人提交结算问题，管理员处理并记录结果。</t>
  </si>
  <si>
    <t>需确认处理状态和责任人</t>
  </si>
  <si>
    <t>结算确认</t>
  </si>
  <si>
    <t>结算确认与锁定</t>
  </si>
  <si>
    <t>达人确认结算无误后，管理员完成结算批次确认和锁定。</t>
  </si>
  <si>
    <t>需确认锁定后是否允许重新打开</t>
  </si>
  <si>
    <t>结算日志</t>
  </si>
  <si>
    <t>结算操作日志</t>
  </si>
  <si>
    <t>记录结算数据修改、差异处理、确认和锁定操作。</t>
  </si>
  <si>
    <t>建议复用现有操作日志能力</t>
  </si>
  <si>
    <t>结算导出</t>
  </si>
  <si>
    <t>结算核对结果导出</t>
  </si>
  <si>
    <t>导出结算明细、差异项和最终确认结果。</t>
  </si>
  <si>
    <t>需确认导出模板和接收方</t>
  </si>
  <si>
    <t>结算数据核对｜待确认事项</t>
  </si>
  <si>
    <t>以下问题确认后，才能把第二个需求拆成最终开发清单</t>
  </si>
  <si>
    <t>待确认主题</t>
  </si>
  <si>
    <t>需要确认的内容</t>
  </si>
  <si>
    <t>影响模块</t>
  </si>
  <si>
    <t>建议产出</t>
  </si>
  <si>
    <t>结算周期</t>
  </si>
  <si>
    <t>按自然月、账期还是发布批次结算？是否允许补录和重算？</t>
  </si>
  <si>
    <t>结算周期规则</t>
  </si>
  <si>
    <t>结算字段</t>
  </si>
  <si>
    <t>结算金额、作品、播放量、单价、扣款、补贴等字段有哪些？</t>
  </si>
  <si>
    <t>结算导入/明细</t>
  </si>
  <si>
    <t>结算数据字典</t>
  </si>
  <si>
    <t>核对口径</t>
  </si>
  <si>
    <t>以平台数据、运营数据还是财务数据作为最终基准？</t>
  </si>
  <si>
    <t>差异核对</t>
  </si>
  <si>
    <t>差异判断规则</t>
  </si>
  <si>
    <t>差异处理</t>
  </si>
  <si>
    <t>达人提出差异后由谁处理？是否需要状态、备注、附件和复核？</t>
  </si>
  <si>
    <t>异常处理</t>
  </si>
  <si>
    <t>差异处理流程</t>
  </si>
  <si>
    <t>确认锁定</t>
  </si>
  <si>
    <t>达人确认后是否锁定？管理员能否重新打开？</t>
  </si>
  <si>
    <t>状态机和权限规则</t>
  </si>
  <si>
    <t>导出接收方</t>
  </si>
  <si>
    <t>结算结果需要导出给财务、运营还是第三方系统？</t>
  </si>
  <si>
    <t>导出模板和字段顺序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</si>
</sst>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0"/>
      <color rgb="FF5D6B78"/>
      <name val="Carlito"/>
      <charset val="134"/>
    </font>
    <font>
      <b/>
      <sz val="11"/>
      <color rgb="FFFFFFFF"/>
      <name val="Carlito"/>
      <charset val="134"/>
    </font>
    <font>
      <sz val="11"/>
      <color rgb="FF17324D"/>
      <name val="Carlito"/>
      <charset val="134"/>
    </font>
    <font>
      <b/>
      <sz val="11"/>
      <color rgb="FF17324D"/>
      <name val="Carlito"/>
      <charset val="134"/>
    </font>
    <font>
      <sz val="10"/>
      <color rgb="FF5D6B78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4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3F3E9"/>
        <bgColor indexed="64"/>
      </patternFill>
    </fill>
    <fill>
      <patternFill patternType="solid">
        <fgColor rgb="FFF4E7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/>
    </xf>
    <xf numFmtId="0" fontId="3" fillId="4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center" wrapText="1"/>
    </xf>
    <xf numFmtId="0" fontId="4" fillId="5" borderId="1" xfId="49" applyNumberFormat="1" applyFont="1" applyFill="1" applyBorder="1"/>
    <xf numFmtId="0" fontId="0" fillId="0" borderId="1" xfId="49" applyNumberFormat="1" applyFont="1" applyFill="1" applyBorder="1" applyAlignment="1">
      <alignment horizontal="center" vertical="center" wrapText="1"/>
    </xf>
    <xf numFmtId="0" fontId="5" fillId="6" borderId="1" xfId="49" applyNumberFormat="1" applyFont="1" applyFill="1" applyBorder="1" applyAlignment="1">
      <alignment horizontal="center" vertical="center" wrapText="1"/>
    </xf>
    <xf numFmtId="0" fontId="5" fillId="7" borderId="1" xfId="49" applyNumberFormat="1" applyFont="1" applyFill="1" applyBorder="1" applyAlignment="1">
      <alignment horizontal="center" vertical="center" wrapText="1"/>
    </xf>
    <xf numFmtId="0" fontId="5" fillId="3" borderId="1" xfId="49" applyNumberFormat="1" applyFont="1" applyFill="1" applyBorder="1"/>
    <xf numFmtId="0" fontId="0" fillId="0" borderId="1" xfId="49" applyNumberFormat="1" applyFont="1" applyFill="1" applyBorder="1" applyAlignment="1">
      <alignment wrapText="1"/>
    </xf>
    <xf numFmtId="0" fontId="6" fillId="3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workbookViewId="0">
      <selection activeCell="D8" sqref="D8"/>
    </sheetView>
  </sheetViews>
  <sheetFormatPr defaultColWidth="9" defaultRowHeight="16.8" outlineLevelCol="5"/>
  <cols>
    <col min="1" max="1" width="14" customWidth="1"/>
    <col min="2" max="2" width="36" customWidth="1"/>
    <col min="3" max="3" width="14" customWidth="1"/>
    <col min="4" max="4" width="13" customWidth="1"/>
    <col min="5" max="5" width="18" customWidth="1"/>
    <col min="6" max="6" width="55" customWidth="1"/>
  </cols>
  <sheetData>
    <row r="1" ht="30" customHeight="1" spans="1:6">
      <c r="A1" s="1" t="s">
        <v>0</v>
      </c>
      <c r="B1" s="1"/>
      <c r="C1" s="1"/>
      <c r="D1" s="1"/>
      <c r="E1" s="1"/>
      <c r="F1" s="1"/>
    </row>
    <row r="2" ht="22" customHeight="1" spans="1:6">
      <c r="A2" s="2" t="s">
        <v>1</v>
      </c>
      <c r="B2" s="2"/>
      <c r="C2" s="2"/>
      <c r="D2" s="2"/>
      <c r="E2" s="2"/>
      <c r="F2" s="2"/>
    </row>
    <row r="3" spans="1: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5" ht="30" customHeight="1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ht="46" customHeight="1" spans="1:6">
      <c r="A6" s="4" t="s">
        <v>14</v>
      </c>
      <c r="B6" s="4" t="s">
        <v>15</v>
      </c>
      <c r="C6" s="7" t="s">
        <v>16</v>
      </c>
      <c r="D6" s="4">
        <f>COUNTIF(功能清单!$B$5:$B$31,"需求一：视频数据核对")</f>
        <v>19</v>
      </c>
      <c r="E6" s="4" t="s">
        <v>17</v>
      </c>
      <c r="F6" s="4" t="s">
        <v>18</v>
      </c>
    </row>
    <row r="7" ht="46" customHeight="1" spans="1:6">
      <c r="A7" s="4" t="s">
        <v>19</v>
      </c>
      <c r="B7" s="4" t="s">
        <v>20</v>
      </c>
      <c r="C7" s="8" t="s">
        <v>21</v>
      </c>
      <c r="D7" s="4">
        <f>COUNTIF(功能清单!$B$5:$B$31,"需求二：结算数据核对")</f>
        <v>8</v>
      </c>
      <c r="E7" s="4" t="s">
        <v>22</v>
      </c>
      <c r="F7" s="4" t="s">
        <v>23</v>
      </c>
    </row>
    <row r="9" spans="1:6">
      <c r="A9" s="9" t="s">
        <v>24</v>
      </c>
      <c r="B9" s="9"/>
      <c r="C9" s="9"/>
      <c r="D9" s="9"/>
      <c r="E9" s="9"/>
      <c r="F9" s="9"/>
    </row>
    <row r="10" ht="17" spans="1:6">
      <c r="A10" s="3" t="s">
        <v>25</v>
      </c>
      <c r="B10" s="3" t="s">
        <v>26</v>
      </c>
      <c r="C10" s="3"/>
      <c r="D10" s="3"/>
      <c r="E10" s="3"/>
      <c r="F10" s="3" t="s">
        <v>27</v>
      </c>
    </row>
    <row r="11" ht="17" spans="1:6">
      <c r="A11" s="10" t="s">
        <v>16</v>
      </c>
      <c r="B11" s="10">
        <f>COUNTIF(功能清单!$G$5:$G$31,A11)</f>
        <v>19</v>
      </c>
      <c r="C11" s="10"/>
      <c r="D11" s="10"/>
      <c r="E11" s="10"/>
      <c r="F11" s="10" t="s">
        <v>28</v>
      </c>
    </row>
    <row r="12" ht="17" spans="1:6">
      <c r="A12" s="10" t="s">
        <v>21</v>
      </c>
      <c r="B12" s="10">
        <f>COUNTIF(功能清单!$G$5:$G$31,A12)</f>
        <v>8</v>
      </c>
      <c r="C12" s="10"/>
      <c r="D12" s="10"/>
      <c r="E12" s="10"/>
      <c r="F12" s="10" t="s">
        <v>29</v>
      </c>
    </row>
    <row r="14" spans="1:6">
      <c r="A14" s="11" t="s">
        <v>30</v>
      </c>
      <c r="B14" s="11"/>
      <c r="C14" s="11"/>
      <c r="D14" s="11"/>
      <c r="E14" s="11"/>
      <c r="F14" s="11"/>
    </row>
    <row r="15" spans="1:6">
      <c r="A15" s="11"/>
      <c r="B15" s="11"/>
      <c r="C15" s="11"/>
      <c r="D15" s="11"/>
      <c r="E15" s="11"/>
      <c r="F15" s="11"/>
    </row>
    <row r="16" spans="1:6">
      <c r="A16" s="11"/>
      <c r="B16" s="11"/>
      <c r="C16" s="11"/>
      <c r="D16" s="11"/>
      <c r="E16" s="11"/>
      <c r="F16" s="11"/>
    </row>
  </sheetData>
  <mergeCells count="3">
    <mergeCell ref="A1:F1"/>
    <mergeCell ref="A2:F2"/>
    <mergeCell ref="A14:F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showGridLines="0" tabSelected="1" zoomScale="82" zoomScaleNormal="82" topLeftCell="A16" workbookViewId="0">
      <selection activeCell="A1" sqref="A1:H23"/>
    </sheetView>
  </sheetViews>
  <sheetFormatPr defaultColWidth="9" defaultRowHeight="16.8" outlineLevelCol="7"/>
  <cols>
    <col min="1" max="1" width="8" customWidth="1"/>
    <col min="2" max="2" width="25" customWidth="1"/>
    <col min="3" max="3" width="16" customWidth="1"/>
    <col min="4" max="4" width="26" customWidth="1"/>
    <col min="5" max="5" width="58" customWidth="1"/>
    <col min="6" max="6" width="16" customWidth="1"/>
    <col min="7" max="7" width="12" customWidth="1"/>
    <col min="8" max="8" width="36" customWidth="1"/>
  </cols>
  <sheetData>
    <row r="1" ht="30" customHeight="1" spans="1:8">
      <c r="A1" s="1" t="s">
        <v>31</v>
      </c>
      <c r="B1" s="1"/>
      <c r="C1" s="1"/>
      <c r="D1" s="1"/>
      <c r="E1" s="1"/>
      <c r="F1" s="1"/>
      <c r="G1" s="1"/>
      <c r="H1" s="1"/>
    </row>
    <row r="2" ht="22" customHeight="1" spans="1:8">
      <c r="A2" s="2" t="s">
        <v>32</v>
      </c>
      <c r="B2" s="2"/>
      <c r="C2" s="2"/>
      <c r="D2" s="2"/>
      <c r="E2" s="2"/>
      <c r="F2" s="2"/>
      <c r="G2" s="2"/>
      <c r="H2" s="2"/>
    </row>
    <row r="3" spans="1:8">
      <c r="A3" s="5" t="s">
        <v>33</v>
      </c>
      <c r="B3" s="5" t="s">
        <v>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</row>
    <row r="4" ht="32" customHeight="1" spans="1:8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25</v>
      </c>
      <c r="H4" s="3" t="s">
        <v>46</v>
      </c>
    </row>
    <row r="5" ht="42" customHeight="1" spans="1:8">
      <c r="A5" s="4">
        <v>1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6" t="s">
        <v>16</v>
      </c>
      <c r="H5" s="4" t="s">
        <v>52</v>
      </c>
    </row>
    <row r="6" ht="42" customHeight="1" spans="1:8">
      <c r="A6" s="4">
        <v>2</v>
      </c>
      <c r="B6" s="4" t="s">
        <v>47</v>
      </c>
      <c r="C6" s="4" t="s">
        <v>48</v>
      </c>
      <c r="D6" s="4" t="s">
        <v>53</v>
      </c>
      <c r="E6" s="4" t="s">
        <v>54</v>
      </c>
      <c r="F6" s="4" t="s">
        <v>55</v>
      </c>
      <c r="G6" s="6" t="s">
        <v>16</v>
      </c>
      <c r="H6" s="4" t="s">
        <v>56</v>
      </c>
    </row>
    <row r="7" ht="42" customHeight="1" spans="1:8">
      <c r="A7" s="4">
        <v>3</v>
      </c>
      <c r="B7" s="4" t="s">
        <v>47</v>
      </c>
      <c r="C7" s="4" t="s">
        <v>48</v>
      </c>
      <c r="D7" s="4" t="s">
        <v>57</v>
      </c>
      <c r="E7" s="4" t="s">
        <v>58</v>
      </c>
      <c r="F7" s="4" t="s">
        <v>55</v>
      </c>
      <c r="G7" s="6" t="s">
        <v>16</v>
      </c>
      <c r="H7" s="4" t="s">
        <v>59</v>
      </c>
    </row>
    <row r="8" ht="42" customHeight="1" spans="1:8">
      <c r="A8" s="4">
        <v>4</v>
      </c>
      <c r="B8" s="4" t="s">
        <v>47</v>
      </c>
      <c r="C8" s="4" t="s">
        <v>48</v>
      </c>
      <c r="D8" s="4" t="s">
        <v>60</v>
      </c>
      <c r="E8" s="4" t="s">
        <v>61</v>
      </c>
      <c r="F8" s="4" t="s">
        <v>51</v>
      </c>
      <c r="G8" s="6" t="s">
        <v>16</v>
      </c>
      <c r="H8" s="4" t="s">
        <v>62</v>
      </c>
    </row>
    <row r="9" ht="42" customHeight="1" spans="1:8">
      <c r="A9" s="4">
        <v>5</v>
      </c>
      <c r="B9" s="4" t="s">
        <v>47</v>
      </c>
      <c r="C9" s="4" t="s">
        <v>48</v>
      </c>
      <c r="D9" s="4" t="s">
        <v>63</v>
      </c>
      <c r="E9" s="4" t="s">
        <v>64</v>
      </c>
      <c r="F9" s="4" t="s">
        <v>51</v>
      </c>
      <c r="G9" s="6" t="s">
        <v>16</v>
      </c>
      <c r="H9" s="4" t="s">
        <v>65</v>
      </c>
    </row>
    <row r="10" ht="42" customHeight="1" spans="1:8">
      <c r="A10" s="4">
        <v>6</v>
      </c>
      <c r="B10" s="4" t="s">
        <v>47</v>
      </c>
      <c r="C10" s="4" t="s">
        <v>66</v>
      </c>
      <c r="D10" s="4" t="s">
        <v>67</v>
      </c>
      <c r="E10" s="4" t="s">
        <v>68</v>
      </c>
      <c r="F10" s="4" t="s">
        <v>55</v>
      </c>
      <c r="G10" s="6" t="s">
        <v>16</v>
      </c>
      <c r="H10" s="4" t="s">
        <v>69</v>
      </c>
    </row>
    <row r="11" ht="42" customHeight="1" spans="1:8">
      <c r="A11" s="4">
        <v>7</v>
      </c>
      <c r="B11" s="4" t="s">
        <v>47</v>
      </c>
      <c r="C11" s="4" t="s">
        <v>66</v>
      </c>
      <c r="D11" s="4" t="s">
        <v>70</v>
      </c>
      <c r="E11" s="4" t="s">
        <v>71</v>
      </c>
      <c r="F11" s="4" t="s">
        <v>55</v>
      </c>
      <c r="G11" s="6" t="s">
        <v>16</v>
      </c>
      <c r="H11" s="4" t="s">
        <v>72</v>
      </c>
    </row>
    <row r="12" ht="42" customHeight="1" spans="1:8">
      <c r="A12" s="4">
        <v>8</v>
      </c>
      <c r="B12" s="4" t="s">
        <v>47</v>
      </c>
      <c r="C12" s="4" t="s">
        <v>66</v>
      </c>
      <c r="D12" s="4" t="s">
        <v>73</v>
      </c>
      <c r="E12" s="4" t="s">
        <v>74</v>
      </c>
      <c r="F12" s="4" t="s">
        <v>55</v>
      </c>
      <c r="G12" s="6" t="s">
        <v>16</v>
      </c>
      <c r="H12" s="4" t="s">
        <v>75</v>
      </c>
    </row>
    <row r="13" ht="42" customHeight="1" spans="1:8">
      <c r="A13" s="4">
        <v>9</v>
      </c>
      <c r="B13" s="4" t="s">
        <v>47</v>
      </c>
      <c r="C13" s="4" t="s">
        <v>66</v>
      </c>
      <c r="D13" s="4" t="s">
        <v>76</v>
      </c>
      <c r="E13" s="4" t="s">
        <v>77</v>
      </c>
      <c r="F13" s="4" t="s">
        <v>51</v>
      </c>
      <c r="G13" s="6" t="s">
        <v>16</v>
      </c>
      <c r="H13" s="4" t="s">
        <v>78</v>
      </c>
    </row>
    <row r="14" ht="42" customHeight="1" spans="1:8">
      <c r="A14" s="4">
        <v>10</v>
      </c>
      <c r="B14" s="4" t="s">
        <v>47</v>
      </c>
      <c r="C14" s="4" t="s">
        <v>79</v>
      </c>
      <c r="D14" s="4" t="s">
        <v>80</v>
      </c>
      <c r="E14" s="4" t="s">
        <v>81</v>
      </c>
      <c r="F14" s="4" t="s">
        <v>51</v>
      </c>
      <c r="G14" s="6" t="s">
        <v>16</v>
      </c>
      <c r="H14" s="4" t="s">
        <v>82</v>
      </c>
    </row>
    <row r="15" ht="42" customHeight="1" spans="1:8">
      <c r="A15" s="4">
        <v>11</v>
      </c>
      <c r="B15" s="4" t="s">
        <v>47</v>
      </c>
      <c r="C15" s="4" t="s">
        <v>79</v>
      </c>
      <c r="D15" s="4" t="s">
        <v>83</v>
      </c>
      <c r="E15" s="4" t="s">
        <v>84</v>
      </c>
      <c r="F15" s="4" t="s">
        <v>55</v>
      </c>
      <c r="G15" s="6" t="s">
        <v>16</v>
      </c>
      <c r="H15" s="4" t="s">
        <v>85</v>
      </c>
    </row>
    <row r="16" ht="42" customHeight="1" spans="1:8">
      <c r="A16" s="4">
        <v>12</v>
      </c>
      <c r="B16" s="4" t="s">
        <v>47</v>
      </c>
      <c r="C16" s="4" t="s">
        <v>86</v>
      </c>
      <c r="D16" s="4" t="s">
        <v>87</v>
      </c>
      <c r="E16" s="4" t="s">
        <v>88</v>
      </c>
      <c r="F16" s="4" t="s">
        <v>51</v>
      </c>
      <c r="G16" s="6" t="s">
        <v>16</v>
      </c>
      <c r="H16" s="4" t="s">
        <v>89</v>
      </c>
    </row>
    <row r="17" ht="42" customHeight="1" spans="1:8">
      <c r="A17" s="4">
        <v>13</v>
      </c>
      <c r="B17" s="4" t="s">
        <v>47</v>
      </c>
      <c r="C17" s="4" t="s">
        <v>86</v>
      </c>
      <c r="D17" s="4" t="s">
        <v>90</v>
      </c>
      <c r="E17" s="4" t="s">
        <v>91</v>
      </c>
      <c r="F17" s="4" t="s">
        <v>92</v>
      </c>
      <c r="G17" s="6" t="s">
        <v>16</v>
      </c>
      <c r="H17" s="4" t="s">
        <v>93</v>
      </c>
    </row>
    <row r="18" ht="42" customHeight="1" spans="1:8">
      <c r="A18" s="4">
        <v>14</v>
      </c>
      <c r="B18" s="4" t="s">
        <v>47</v>
      </c>
      <c r="C18" s="4" t="s">
        <v>86</v>
      </c>
      <c r="D18" s="4" t="s">
        <v>94</v>
      </c>
      <c r="E18" s="4" t="s">
        <v>95</v>
      </c>
      <c r="F18" s="4" t="s">
        <v>55</v>
      </c>
      <c r="G18" s="6" t="s">
        <v>16</v>
      </c>
      <c r="H18" s="4" t="s">
        <v>96</v>
      </c>
    </row>
    <row r="19" ht="42" customHeight="1" spans="1:8">
      <c r="A19" s="4">
        <v>15</v>
      </c>
      <c r="B19" s="4" t="s">
        <v>47</v>
      </c>
      <c r="C19" s="4" t="s">
        <v>86</v>
      </c>
      <c r="D19" s="4" t="s">
        <v>97</v>
      </c>
      <c r="E19" s="4" t="s">
        <v>98</v>
      </c>
      <c r="F19" s="4" t="s">
        <v>51</v>
      </c>
      <c r="G19" s="6" t="s">
        <v>16</v>
      </c>
      <c r="H19" s="4" t="s">
        <v>99</v>
      </c>
    </row>
    <row r="20" ht="42" customHeight="1" spans="1:8">
      <c r="A20" s="4">
        <v>16</v>
      </c>
      <c r="B20" s="4" t="s">
        <v>47</v>
      </c>
      <c r="C20" s="4" t="s">
        <v>86</v>
      </c>
      <c r="D20" s="4" t="s">
        <v>100</v>
      </c>
      <c r="E20" s="4" t="s">
        <v>101</v>
      </c>
      <c r="F20" s="4" t="s">
        <v>51</v>
      </c>
      <c r="G20" s="6" t="s">
        <v>16</v>
      </c>
      <c r="H20" s="4" t="s">
        <v>102</v>
      </c>
    </row>
    <row r="21" ht="42" customHeight="1" spans="1:8">
      <c r="A21" s="4">
        <v>17</v>
      </c>
      <c r="B21" s="4" t="s">
        <v>47</v>
      </c>
      <c r="C21" s="4" t="s">
        <v>86</v>
      </c>
      <c r="D21" s="4" t="s">
        <v>103</v>
      </c>
      <c r="E21" s="4" t="s">
        <v>104</v>
      </c>
      <c r="F21" s="4" t="s">
        <v>55</v>
      </c>
      <c r="G21" s="6" t="s">
        <v>16</v>
      </c>
      <c r="H21" s="4" t="s">
        <v>105</v>
      </c>
    </row>
    <row r="22" ht="42" customHeight="1" spans="1:8">
      <c r="A22" s="4">
        <v>18</v>
      </c>
      <c r="B22" s="4" t="s">
        <v>47</v>
      </c>
      <c r="C22" s="4" t="s">
        <v>106</v>
      </c>
      <c r="D22" s="4" t="s">
        <v>107</v>
      </c>
      <c r="E22" s="4" t="s">
        <v>108</v>
      </c>
      <c r="F22" s="4" t="s">
        <v>55</v>
      </c>
      <c r="G22" s="6" t="s">
        <v>16</v>
      </c>
      <c r="H22" s="4" t="s">
        <v>109</v>
      </c>
    </row>
    <row r="23" ht="42" customHeight="1" spans="1:8">
      <c r="A23" s="4">
        <v>19</v>
      </c>
      <c r="B23" s="4" t="s">
        <v>47</v>
      </c>
      <c r="C23" s="4" t="s">
        <v>106</v>
      </c>
      <c r="D23" s="4" t="s">
        <v>110</v>
      </c>
      <c r="E23" s="4" t="s">
        <v>111</v>
      </c>
      <c r="F23" s="4" t="s">
        <v>55</v>
      </c>
      <c r="G23" s="6" t="s">
        <v>16</v>
      </c>
      <c r="H23" s="4" t="s">
        <v>112</v>
      </c>
    </row>
    <row r="24" ht="42" customHeight="1" spans="1:8">
      <c r="A24" s="4">
        <v>20</v>
      </c>
      <c r="B24" s="4" t="s">
        <v>113</v>
      </c>
      <c r="C24" s="4" t="s">
        <v>114</v>
      </c>
      <c r="D24" s="4" t="s">
        <v>115</v>
      </c>
      <c r="E24" s="4" t="s">
        <v>116</v>
      </c>
      <c r="F24" s="4" t="s">
        <v>55</v>
      </c>
      <c r="G24" s="6" t="s">
        <v>21</v>
      </c>
      <c r="H24" s="4" t="s">
        <v>117</v>
      </c>
    </row>
    <row r="25" ht="42" customHeight="1" spans="1:8">
      <c r="A25" s="4">
        <v>21</v>
      </c>
      <c r="B25" s="4" t="s">
        <v>113</v>
      </c>
      <c r="C25" s="4" t="s">
        <v>118</v>
      </c>
      <c r="D25" s="4" t="s">
        <v>119</v>
      </c>
      <c r="E25" s="4" t="s">
        <v>120</v>
      </c>
      <c r="F25" s="4" t="s">
        <v>55</v>
      </c>
      <c r="G25" s="6" t="s">
        <v>21</v>
      </c>
      <c r="H25" s="4" t="s">
        <v>121</v>
      </c>
    </row>
    <row r="26" ht="42" customHeight="1" spans="1:8">
      <c r="A26" s="4">
        <v>22</v>
      </c>
      <c r="B26" s="4" t="s">
        <v>113</v>
      </c>
      <c r="C26" s="4" t="s">
        <v>122</v>
      </c>
      <c r="D26" s="4" t="s">
        <v>123</v>
      </c>
      <c r="E26" s="4" t="s">
        <v>124</v>
      </c>
      <c r="F26" s="4" t="s">
        <v>51</v>
      </c>
      <c r="G26" s="6" t="s">
        <v>21</v>
      </c>
      <c r="H26" s="4" t="s">
        <v>125</v>
      </c>
    </row>
    <row r="27" ht="42" customHeight="1" spans="1:8">
      <c r="A27" s="4">
        <v>23</v>
      </c>
      <c r="B27" s="4" t="s">
        <v>113</v>
      </c>
      <c r="C27" s="4" t="s">
        <v>122</v>
      </c>
      <c r="D27" s="4" t="s">
        <v>126</v>
      </c>
      <c r="E27" s="4" t="s">
        <v>127</v>
      </c>
      <c r="F27" s="4" t="s">
        <v>51</v>
      </c>
      <c r="G27" s="6" t="s">
        <v>21</v>
      </c>
      <c r="H27" s="4" t="s">
        <v>128</v>
      </c>
    </row>
    <row r="28" ht="42" customHeight="1" spans="1:8">
      <c r="A28" s="4">
        <v>24</v>
      </c>
      <c r="B28" s="4" t="s">
        <v>113</v>
      </c>
      <c r="C28" s="4" t="s">
        <v>122</v>
      </c>
      <c r="D28" s="4" t="s">
        <v>129</v>
      </c>
      <c r="E28" s="4" t="s">
        <v>130</v>
      </c>
      <c r="F28" s="4" t="s">
        <v>51</v>
      </c>
      <c r="G28" s="6" t="s">
        <v>21</v>
      </c>
      <c r="H28" s="4" t="s">
        <v>131</v>
      </c>
    </row>
    <row r="29" ht="42" customHeight="1" spans="1:8">
      <c r="A29" s="4">
        <v>25</v>
      </c>
      <c r="B29" s="4" t="s">
        <v>113</v>
      </c>
      <c r="C29" s="4" t="s">
        <v>132</v>
      </c>
      <c r="D29" s="4" t="s">
        <v>133</v>
      </c>
      <c r="E29" s="4" t="s">
        <v>134</v>
      </c>
      <c r="F29" s="4" t="s">
        <v>51</v>
      </c>
      <c r="G29" s="6" t="s">
        <v>21</v>
      </c>
      <c r="H29" s="4" t="s">
        <v>135</v>
      </c>
    </row>
    <row r="30" ht="42" customHeight="1" spans="1:8">
      <c r="A30" s="4">
        <v>26</v>
      </c>
      <c r="B30" s="4" t="s">
        <v>113</v>
      </c>
      <c r="C30" s="4" t="s">
        <v>136</v>
      </c>
      <c r="D30" s="4" t="s">
        <v>137</v>
      </c>
      <c r="E30" s="4" t="s">
        <v>138</v>
      </c>
      <c r="F30" s="4" t="s">
        <v>55</v>
      </c>
      <c r="G30" s="6" t="s">
        <v>21</v>
      </c>
      <c r="H30" s="4" t="s">
        <v>139</v>
      </c>
    </row>
    <row r="31" ht="42" customHeight="1" spans="1:8">
      <c r="A31" s="4">
        <v>27</v>
      </c>
      <c r="B31" s="4" t="s">
        <v>113</v>
      </c>
      <c r="C31" s="4" t="s">
        <v>140</v>
      </c>
      <c r="D31" s="4" t="s">
        <v>141</v>
      </c>
      <c r="E31" s="4" t="s">
        <v>142</v>
      </c>
      <c r="F31" s="4" t="s">
        <v>55</v>
      </c>
      <c r="G31" s="6" t="s">
        <v>21</v>
      </c>
      <c r="H31" s="4" t="s">
        <v>143</v>
      </c>
    </row>
  </sheetData>
  <mergeCells count="2">
    <mergeCell ref="A1:H1"/>
    <mergeCell ref="A2:H2"/>
  </mergeCells>
  <dataValidations count="1">
    <dataValidation type="list" sqref="G5:G31">
      <formula1>"已实现,待开发"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A1" sqref="A1:E1"/>
    </sheetView>
  </sheetViews>
  <sheetFormatPr defaultColWidth="9" defaultRowHeight="16.8" outlineLevelCol="4"/>
  <cols>
    <col min="1" max="1" width="8" customWidth="1"/>
    <col min="2" max="2" width="18" customWidth="1"/>
    <col min="3" max="3" width="55" customWidth="1"/>
    <col min="4" max="4" width="20" customWidth="1"/>
    <col min="5" max="5" width="28" customWidth="1"/>
  </cols>
  <sheetData>
    <row r="1" ht="30" customHeight="1" spans="1:5">
      <c r="A1" s="1" t="s">
        <v>144</v>
      </c>
      <c r="B1" s="1"/>
      <c r="C1" s="1"/>
      <c r="D1" s="1"/>
      <c r="E1" s="1"/>
    </row>
    <row r="2" ht="22" customHeight="1" spans="1:5">
      <c r="A2" s="2" t="s">
        <v>145</v>
      </c>
      <c r="B2" s="2"/>
      <c r="C2" s="2"/>
      <c r="D2" s="2"/>
      <c r="E2" s="2"/>
    </row>
    <row r="4" ht="30" customHeight="1" spans="1:5">
      <c r="A4" s="3" t="s">
        <v>40</v>
      </c>
      <c r="B4" s="3" t="s">
        <v>146</v>
      </c>
      <c r="C4" s="3" t="s">
        <v>147</v>
      </c>
      <c r="D4" s="3" t="s">
        <v>148</v>
      </c>
      <c r="E4" s="3" t="s">
        <v>149</v>
      </c>
    </row>
    <row r="5" ht="48" customHeight="1" spans="1:5">
      <c r="A5" s="4">
        <v>1</v>
      </c>
      <c r="B5" s="4" t="s">
        <v>150</v>
      </c>
      <c r="C5" s="4" t="s">
        <v>151</v>
      </c>
      <c r="D5" s="4" t="s">
        <v>114</v>
      </c>
      <c r="E5" s="4" t="s">
        <v>152</v>
      </c>
    </row>
    <row r="6" ht="48" customHeight="1" spans="1:5">
      <c r="A6" s="4">
        <v>2</v>
      </c>
      <c r="B6" s="4" t="s">
        <v>153</v>
      </c>
      <c r="C6" s="4" t="s">
        <v>154</v>
      </c>
      <c r="D6" s="4" t="s">
        <v>155</v>
      </c>
      <c r="E6" s="4" t="s">
        <v>156</v>
      </c>
    </row>
    <row r="7" ht="48" customHeight="1" spans="1:5">
      <c r="A7" s="4">
        <v>3</v>
      </c>
      <c r="B7" s="4" t="s">
        <v>157</v>
      </c>
      <c r="C7" s="4" t="s">
        <v>158</v>
      </c>
      <c r="D7" s="4" t="s">
        <v>159</v>
      </c>
      <c r="E7" s="4" t="s">
        <v>160</v>
      </c>
    </row>
    <row r="8" ht="48" customHeight="1" spans="1:5">
      <c r="A8" s="4">
        <v>4</v>
      </c>
      <c r="B8" s="4" t="s">
        <v>161</v>
      </c>
      <c r="C8" s="4" t="s">
        <v>162</v>
      </c>
      <c r="D8" s="4" t="s">
        <v>163</v>
      </c>
      <c r="E8" s="4" t="s">
        <v>164</v>
      </c>
    </row>
    <row r="9" ht="48" customHeight="1" spans="1:5">
      <c r="A9" s="4">
        <v>5</v>
      </c>
      <c r="B9" s="4" t="s">
        <v>165</v>
      </c>
      <c r="C9" s="4" t="s">
        <v>166</v>
      </c>
      <c r="D9" s="4" t="s">
        <v>132</v>
      </c>
      <c r="E9" s="4" t="s">
        <v>167</v>
      </c>
    </row>
    <row r="10" ht="48" customHeight="1" spans="1:5">
      <c r="A10" s="4">
        <v>6</v>
      </c>
      <c r="B10" s="4" t="s">
        <v>168</v>
      </c>
      <c r="C10" s="4" t="s">
        <v>169</v>
      </c>
      <c r="D10" s="4" t="s">
        <v>140</v>
      </c>
      <c r="E10" s="4" t="s">
        <v>170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功能总览</vt:lpstr>
      <vt:lpstr>功能清单</vt:lpstr>
      <vt:lpstr>待确认事项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minda66</cp:lastModifiedBy>
  <dcterms:created xsi:type="dcterms:W3CDTF">2026-07-14T00:11:55Z</dcterms:created>
  <dcterms:modified xsi:type="dcterms:W3CDTF">2026-07-14T00:13:18Z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404A08C885D3E7119E0E556A02E5FA07_42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