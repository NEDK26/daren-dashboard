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3d61c1e84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汇总" sheetId="1" r:id="R2aa65721400a4bae"/>
    <x:sheet xmlns:r="http://schemas.openxmlformats.org/officeDocument/2006/relationships" name="功能清单" sheetId="2" r:id="R3169e29a903f4fb3"/>
    <x:sheet xmlns:r="http://schemas.openxmlformats.org/officeDocument/2006/relationships" name="待开发边界" sheetId="3" r:id="R87241271a176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D6B78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0"/>
      <x:color rgb="FF5D6B78"/>
      <x:name val="Carlito"/>
    </x:font>
    <x:font>
      <x:sz val="11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4"/>
      </x:patternFill>
    </x:fill>
    <x:fill>
      <x:patternFill patternType="solid">
        <x:fgColor rgb="FF0F766E"/>
      </x:patternFill>
    </x:fill>
    <x:fill>
      <x:patternFill patternType="solid">
        <x:fgColor rgb="FFF4E7C2"/>
      </x:patternFill>
    </x:fill>
    <x:fill>
      <x:patternFill patternType="solid">
        <x:fgColor rgb="FFF2F4F6"/>
      </x:patternFill>
    </x:fill>
  </x:fills>
  <x:borders count="2">
    <x:border/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0" fontId="6" fillId="6" borderId="1" xfId="0" applyNumberFormat="1" applyFont="1" applyFill="1" applyBorder="1"/>
    <x:xf numFmtId="20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/>
    <x:xf numFmtId="202" fontId="0" fillId="0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/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d4707a7344185" /><Relationship Type="http://schemas.openxmlformats.org/officeDocument/2006/relationships/theme" Target="/xl/theme/theme1.xml" Id="Rb8cf2e36cd0f4ee6" /><Relationship Type="http://schemas.openxmlformats.org/officeDocument/2006/relationships/sharedStrings" Target="/xl/sharedStrings.xml" Id="Rd60e7fa4e0ea4a4c" /><Relationship Type="http://schemas.openxmlformats.org/officeDocument/2006/relationships/worksheet" Target="/xl/worksheets/sheet1.xml" Id="R2aa65721400a4bae" /><Relationship Type="http://schemas.openxmlformats.org/officeDocument/2006/relationships/worksheet" Target="/xl/worksheets/sheet2.xml" Id="R3169e29a903f4fb3" /><Relationship Type="http://schemas.openxmlformats.org/officeDocument/2006/relationships/worksheet" Target="/xl/worksheets/sheet3.xml" Id="R87241271a1764f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6" max="6" width="38" hidden="0" customWidth="1"/>
    <x:col min="1" max="1" width="22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达人数据管理平台｜软件功能报价清单</x:v>
      </x:c>
      <x:c r="B1" s="4"/>
      <x:c r="C1" s="4"/>
      <x:c r="D1" s="4"/>
      <x:c r="E1" s="4"/>
      <x:c r="F1" s="4"/>
    </x:row>
    <x:row r="2" ht="22" customHeight="1">
      <x:c r="A2" s="8" t="str">
        <x:v>按当前代码和已实现功能整理｜报价金额待填写，填写明细单价后自动汇总</x:v>
      </x:c>
      <x:c r="B2" s="8"/>
      <x:c r="C2" s="8"/>
      <x:c r="D2" s="8"/>
      <x:c r="E2" s="8"/>
      <x:c r="F2" s="8"/>
    </x:row>
    <x:row r="3">
      <x:c r="A3" s="32" t="str">
        <x:v>项目</x:v>
      </x:c>
      <x:c r="B3" s="32" t="str">
        <x:v>达人数据管理平台</x:v>
      </x:c>
      <x:c r="C3" s="32" t="str">
        <x:v>报价版本</x:v>
      </x:c>
      <x:c r="D3" s="32" t="str">
        <x:v>V1.0</x:v>
      </x:c>
      <x:c r="E3" s="32" t="str">
        <x:v>整理日期</x:v>
      </x:c>
      <x:c r="F3" s="33" t="n">
        <x:v>46216.65518155092</x:v>
      </x:c>
    </x:row>
    <x:row r="4" ht="30" customHeight="1">
      <x:c r="A4" s="14" t="str">
        <x:v>模块</x:v>
      </x:c>
      <x:c r="B4" s="14" t="str">
        <x:v>功能项数</x:v>
      </x:c>
      <x:c r="C4" s="14" t="str">
        <x:v>已实现项</x:v>
      </x:c>
      <x:c r="D4" s="14" t="str">
        <x:v>预估人日（参考）</x:v>
      </x:c>
      <x:c r="E4" s="14" t="str">
        <x:v>模块小计（元）</x:v>
      </x:c>
      <x:c r="F4" s="14" t="str">
        <x:v>模块说明</x:v>
      </x:c>
    </x:row>
    <x:row r="5">
      <x:c r="A5" s="17" t="str">
        <x:v>认证与权限</x:v>
      </x:c>
      <x:c r="B5" s="17" t="n">
        <x:f>COUNTIF('功能清单'!$B$5:$B$37,A5)</x:f>
        <x:v>4</x:v>
      </x:c>
      <x:c r="C5" s="17" t="n">
        <x:f>COUNTIFS('功能清单'!$B$5:$B$37,A5,'功能清单'!$F$5:$F$37,"已实现")</x:f>
        <x:v>4</x:v>
      </x:c>
      <x:c r="D5" s="36" t="n">
        <x:f>SUMIF('功能清单'!$B$5:$B$37,A5,'功能清单'!$G$5:$G$37)</x:f>
        <x:v>5.5</x:v>
      </x:c>
      <x:c r="E5" s="34" t="str">
        <x:f>IF(COUNT('功能清单'!$I$5:$I$37)=0,"",SUMIF('功能清单'!$B$5:$B$37,A5,'功能清单'!$I$5:$I$37))</x:f>
      </x:c>
      <x:c r="F5" s="17" t="str">
        <x:v>登录、角色、编辑权限和操作留痕</x:v>
      </x:c>
    </x:row>
    <x:row r="6">
      <x:c r="A6" s="17" t="str">
        <x:v>批次管理</x:v>
      </x:c>
      <x:c r="B6" s="17" t="n">
        <x:f>COUNTIF('功能清单'!$B$5:$B$37,A6)</x:f>
        <x:v>6</x:v>
      </x:c>
      <x:c r="C6" s="17" t="n">
        <x:f>COUNTIFS('功能清单'!$B$5:$B$37,A6,'功能清单'!$F$5:$F$37,"已实现")</x:f>
        <x:v>6</x:v>
      </x:c>
      <x:c r="D6" s="36" t="n">
        <x:f>SUMIF('功能清单'!$B$5:$B$37,A6,'功能清单'!$G$5:$G$37)</x:f>
        <x:v>10</x:v>
      </x:c>
      <x:c r="E6" s="34" t="str">
        <x:f>IF(COUNT('功能清单'!$I$5:$I$37)=0,"",SUMIF('功能清单'!$B$5:$B$37,A6,'功能清单'!$I$5:$I$37))</x:f>
      </x:c>
      <x:c r="F6" s="17" t="str">
        <x:v>按 Excel 文件形成可发布、可回溯的数据快照</x:v>
      </x:c>
    </x:row>
    <x:row r="7">
      <x:c r="A7" s="17" t="str">
        <x:v>达人数据管理</x:v>
      </x:c>
      <x:c r="B7" s="17" t="n">
        <x:f>COUNTIF('功能清单'!$B$5:$B$37,A7)</x:f>
        <x:v>6</x:v>
      </x:c>
      <x:c r="C7" s="17" t="n">
        <x:f>COUNTIFS('功能清单'!$B$5:$B$37,A7,'功能清单'!$F$5:$F$37,"已实现")</x:f>
        <x:v>6</x:v>
      </x:c>
      <x:c r="D7" s="36" t="n">
        <x:f>SUMIF('功能清单'!$B$5:$B$37,A7,'功能清单'!$G$5:$G$37)</x:f>
        <x:v>6.5</x:v>
      </x:c>
      <x:c r="E7" s="34" t="str">
        <x:f>IF(COUNT('功能清单'!$I$5:$I$37)=0,"",SUMIF('功能清单'!$B$5:$B$37,A7,'功能清单'!$I$5:$I$37))</x:f>
      </x:c>
      <x:c r="F7" s="17" t="str">
        <x:v>达人列表、批次筛选和批量数据维护</x:v>
      </x:c>
    </x:row>
    <x:row r="8">
      <x:c r="A8" s="17" t="str">
        <x:v>视频数据核对</x:v>
      </x:c>
      <x:c r="B8" s="17" t="n">
        <x:f>COUNTIF('功能清单'!$B$5:$B$37,A8)</x:f>
        <x:v>8</x:v>
      </x:c>
      <x:c r="C8" s="17" t="n">
        <x:f>COUNTIFS('功能清单'!$B$5:$B$37,A8,'功能清单'!$F$5:$F$37,"已实现")</x:f>
        <x:v>8</x:v>
      </x:c>
      <x:c r="D8" s="36" t="n">
        <x:f>SUMIF('功能清单'!$B$5:$B$37,A8,'功能清单'!$G$5:$G$37)</x:f>
        <x:v>11</x:v>
      </x:c>
      <x:c r="E8" s="34" t="str">
        <x:f>IF(COUNT('功能清单'!$I$5:$I$37)=0,"",SUMIF('功能清单'!$B$5:$B$37,A8,'功能清单'!$I$5:$I$37))</x:f>
      </x:c>
      <x:c r="F8" s="17" t="str">
        <x:v>达人视频明细、筛选、编辑和确认闭环</x:v>
      </x:c>
    </x:row>
    <x:row r="9">
      <x:c r="A9" s="17" t="str">
        <x:v>Excel 导入导出</x:v>
      </x:c>
      <x:c r="B9" s="17" t="n">
        <x:f>COUNTIF('功能清单'!$B$5:$B$37,A9)</x:f>
        <x:v>5</x:v>
      </x:c>
      <x:c r="C9" s="17" t="n">
        <x:f>COUNTIFS('功能清单'!$B$5:$B$37,A9,'功能清单'!$F$5:$F$37,"已实现")</x:f>
        <x:v>5</x:v>
      </x:c>
      <x:c r="D9" s="36" t="n">
        <x:f>SUMIF('功能清单'!$B$5:$B$37,A9,'功能清单'!$G$5:$G$37)</x:f>
        <x:v>9.5</x:v>
      </x:c>
      <x:c r="E9" s="34" t="str">
        <x:f>IF(COUNT('功能清单'!$I$5:$I$37)=0,"",SUMIF('功能清单'!$B$5:$B$37,A9,'功能清单'!$I$5:$I$37))</x:f>
      </x:c>
      <x:c r="F9" s="17" t="str">
        <x:v>Excel 数据交换、格式校验和图片兼容</x:v>
      </x:c>
    </x:row>
    <x:row r="10">
      <x:c r="A10" s="17" t="str">
        <x:v>系统配置与体验</x:v>
      </x:c>
      <x:c r="B10" s="17" t="n">
        <x:f>COUNTIF('功能清单'!$B$5:$B$37,A10)</x:f>
        <x:v>4</x:v>
      </x:c>
      <x:c r="C10" s="17" t="n">
        <x:f>COUNTIFS('功能清单'!$B$5:$B$37,A10,'功能清单'!$F$5:$F$37,"已实现")</x:f>
        <x:v>4</x:v>
      </x:c>
      <x:c r="D10" s="36" t="n">
        <x:f>SUMIF('功能清单'!$B$5:$B$37,A10,'功能清单'!$G$5:$G$37)</x:f>
        <x:v>3.5</x:v>
      </x:c>
      <x:c r="E10" s="34" t="str">
        <x:f>IF(COUNT('功能清单'!$I$5:$I$37)=0,"",SUMIF('功能清单'!$B$5:$B$37,A10,'功能清单'!$I$5:$I$37))</x:f>
      </x:c>
      <x:c r="F10" s="17" t="str">
        <x:v>配置、工作台和基础平台能力</x:v>
      </x:c>
    </x:row>
    <x:row r="11">
      <x:c r="A11" s="20" t="str">
        <x:v>合计</x:v>
      </x:c>
      <x:c r="B11" s="20" t="n">
        <x:f>SUM(B5:B10)</x:f>
        <x:v>33</x:v>
      </x:c>
      <x:c r="C11" s="20" t="n">
        <x:f>SUM(C5:C10)</x:f>
        <x:v>33</x:v>
      </x:c>
      <x:c r="D11" s="37" t="n">
        <x:f>SUM(D5:D10)</x:f>
        <x:v>46</x:v>
      </x:c>
      <x:c r="E11" s="35" t="str">
        <x:f>IF(COUNT('功能清单'!$I$5:$I$37)=0,"",SUM(E5:E10))</x:f>
      </x:c>
      <x:c r="F11" s="25" t="str">
        <x:v>明细单价填写后自动计算报价</x:v>
      </x:c>
    </x:row>
    <x:row r="13">
      <x:c r="A13" s="24" t="str">
        <x:v>报价说明：预估人日为基于现有功能规模的初步参考，不代表最终商务报价；单价、折扣、税费和付款节点请按实际商务方案补充。已实现功能以当前版本为准，待开发项单独列在“待开发边界”页。</x:v>
      </x:c>
      <x:c r="B13" s="24"/>
      <x:c r="C13" s="24"/>
      <x:c r="D13" s="24"/>
      <x:c r="E13" s="24"/>
      <x:c r="F13" s="24"/>
    </x:row>
    <x:row r="14">
      <x:c r="A14" s="24"/>
      <x:c r="B14" s="24"/>
      <x:c r="C14" s="24"/>
      <x:c r="D14" s="24"/>
      <x:c r="E14" s="24"/>
      <x:c r="F14" s="24"/>
    </x:row>
  </x:sheetData>
  <x:mergeCells>
    <x:mergeCell ref="A1:F1"/>
    <x:mergeCell ref="A2:F2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26" hidden="0" customWidth="1"/>
    <x:col min="4" max="4" width="58" hidden="0" customWidth="1"/>
    <x:col min="5" max="5" width="16" hidden="0" customWidth="1"/>
    <x:col min="6" max="6" width="15" hidden="0" customWidth="1"/>
    <x:col min="7" max="7" width="16" hidden="0" customWidth="1"/>
    <x:col min="8" max="8" width="17" hidden="0" customWidth="1"/>
    <x:col min="9" max="9" width="17" hidden="0" customWidth="1"/>
    <x:col min="10" max="10" width="32" hidden="0" customWidth="1"/>
  </x:cols>
  <x:sheetData>
    <x:row r="1" ht="30" customHeight="1">
      <x:c r="A1" s="4" t="str">
        <x:v>功能报价明细｜已实现功能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8" t="str">
        <x:v>报价口径：功能清单按模块拆分；人日为参考估算，单价可在明细表填写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t="str">
        <x:v>项目</x:v>
      </x:c>
      <x:c r="B3" t="str">
        <x:v>达人数据管理平台</x:v>
      </x:c>
      <x:c r="C3" t="str">
        <x:v>数据范围</x:v>
      </x:c>
      <x:c r="D3" t="str">
        <x:v>当前版本已实现功能</x:v>
      </x:c>
      <x:c r="E3" t="str">
        <x:v>报价模式</x:v>
      </x:c>
      <x:c r="F3" t="str">
        <x:v>按人日计价</x:v>
      </x:c>
      <x:c r="G3" t="n">
        <x:f>SUM(G5:G37)</x:f>
        <x:v>46</x:v>
      </x:c>
      <x:c r="H3"/>
      <x:c r="I3" t="str">
        <x:v>参考单价</x:v>
      </x:c>
      <x:c r="J3" t="str">
        <x:v>待填写</x:v>
      </x:c>
    </x:row>
    <x:row r="4" ht="34" customHeight="1">
      <x:c r="A4" s="14" t="str">
        <x:v>序号</x:v>
      </x:c>
      <x:c r="B4" s="14" t="str">
        <x:v>模块</x:v>
      </x:c>
      <x:c r="C4" s="14" t="str">
        <x:v>功能名称</x:v>
      </x:c>
      <x:c r="D4" s="14" t="str">
        <x:v>功能说明 / 交付范围</x:v>
      </x:c>
      <x:c r="E4" s="14" t="str">
        <x:v>使用角色</x:v>
      </x:c>
      <x:c r="F4" s="14" t="str">
        <x:v>状态</x:v>
      </x:c>
      <x:c r="G4" s="14" t="str">
        <x:v>预估人日（参考）</x:v>
      </x:c>
      <x:c r="H4" s="14" t="str">
        <x:v>单价（元/人日）</x:v>
      </x:c>
      <x:c r="I4" s="14" t="str">
        <x:v>小计（元）</x:v>
      </x:c>
      <x:c r="J4" s="14" t="str">
        <x:v>备注 / 边界</x:v>
      </x:c>
    </x:row>
    <x:row r="5" ht="36" customHeight="1">
      <x:c r="A5" s="17" t="n">
        <x:v>1</x:v>
      </x:c>
      <x:c r="B5" s="17" t="str">
        <x:v>认证与权限</x:v>
      </x:c>
      <x:c r="C5" s="17" t="str">
        <x:v>登录认证</x:v>
      </x:c>
      <x:c r="D5" s="17" t="str">
        <x:v>管理员和普通用户登录、退出、登录态保持</x:v>
      </x:c>
      <x:c r="E5" s="17" t="str">
        <x:v>管理员/普通用户</x:v>
      </x:c>
      <x:c r="F5" s="17" t="str">
        <x:v>已实现</x:v>
      </x:c>
      <x:c r="G5" s="36" t="n">
        <x:v>1.5</x:v>
      </x:c>
      <x:c r="H5" s="34"/>
      <x:c r="I5" s="34" t="str">
        <x:f>IF(OR(G5="",H5=""),"",G5*H5)</x:f>
      </x:c>
      <x:c r="J5" s="17" t="str">
        <x:v>Session 登录；默认管理员账号可通过环境变量覆盖</x:v>
      </x:c>
    </x:row>
    <x:row r="6" ht="36" customHeight="1">
      <x:c r="A6" s="17" t="n">
        <x:v>2</x:v>
      </x:c>
      <x:c r="B6" s="17" t="str">
        <x:v>认证与权限</x:v>
      </x:c>
      <x:c r="C6" s="17" t="str">
        <x:v>登录安全</x:v>
      </x:c>
      <x:c r="D6" s="17" t="str">
        <x:v>失败次数、IP/用户名维度限流与锁定</x:v>
      </x:c>
      <x:c r="E6" s="17" t="str">
        <x:v>全部用户</x:v>
      </x:c>
      <x:c r="F6" s="17" t="str">
        <x:v>已实现</x:v>
      </x:c>
      <x:c r="G6" s="36" t="n">
        <x:v>1</x:v>
      </x:c>
      <x:c r="H6" s="34"/>
      <x:c r="I6" s="34" t="str">
        <x:f>IF(OR(G6="",H6=""),"",G6*H6)</x:f>
      </x:c>
      <x:c r="J6" s="17" t="str">
        <x:v>防止重复撞库</x:v>
      </x:c>
    </x:row>
    <x:row r="7" ht="36" customHeight="1">
      <x:c r="A7" s="17" t="n">
        <x:v>3</x:v>
      </x:c>
      <x:c r="B7" s="17" t="str">
        <x:v>认证与权限</x:v>
      </x:c>
      <x:c r="C7" s="17" t="str">
        <x:v>角色权限</x:v>
      </x:c>
      <x:c r="D7" s="17" t="str">
        <x:v>管理员全量管理；普通用户仅查看和编辑本人达人数据</x:v>
      </x:c>
      <x:c r="E7" s="17" t="str">
        <x:v>管理员/普通用户</x:v>
      </x:c>
      <x:c r="F7" s="17" t="str">
        <x:v>已实现</x:v>
      </x:c>
      <x:c r="G7" s="36" t="n">
        <x:v>1.5</x:v>
      </x:c>
      <x:c r="H7" s="34"/>
      <x:c r="I7" s="34" t="str">
        <x:f>IF(OR(G7="",H7=""),"",G7*H7)</x:f>
      </x:c>
      <x:c r="J7" s="17" t="str">
        <x:v>接口和前端双重校验</x:v>
      </x:c>
    </x:row>
    <x:row r="8" ht="36" customHeight="1">
      <x:c r="A8" s="17" t="n">
        <x:v>4</x:v>
      </x:c>
      <x:c r="B8" s="17" t="str">
        <x:v>认证与权限</x:v>
      </x:c>
      <x:c r="C8" s="17" t="str">
        <x:v>操作审计</x:v>
      </x:c>
      <x:c r="D8" s="17" t="str">
        <x:v>记录数据修改、操作人、批次、字段新旧值和时间</x:v>
      </x:c>
      <x:c r="E8" s="17" t="str">
        <x:v>管理员/普通用户</x:v>
      </x:c>
      <x:c r="F8" s="17" t="str">
        <x:v>已实现</x:v>
      </x:c>
      <x:c r="G8" s="36" t="n">
        <x:v>1.5</x:v>
      </x:c>
      <x:c r="H8" s="34"/>
      <x:c r="I8" s="34" t="str">
        <x:f>IF(OR(G8="",H8=""),"",G8*H8)</x:f>
      </x:c>
      <x:c r="J8" s="17" t="str">
        <x:v>管理员查看完整日志，普通用户查看相关日志</x:v>
      </x:c>
    </x:row>
    <x:row r="9" ht="36" customHeight="1">
      <x:c r="A9" s="17" t="n">
        <x:v>5</x:v>
      </x:c>
      <x:c r="B9" s="17" t="str">
        <x:v>批次管理</x:v>
      </x:c>
      <x:c r="C9" s="17" t="str">
        <x:v>创建批次</x:v>
      </x:c>
      <x:c r="D9" s="17" t="str">
        <x:v>按年月和自定义标题创建唯一批次，最多保留一个草稿</x:v>
      </x:c>
      <x:c r="E9" s="17" t="str">
        <x:v>管理员</x:v>
      </x:c>
      <x:c r="F9" s="17" t="str">
        <x:v>已实现</x:v>
      </x:c>
      <x:c r="G9" s="36" t="n">
        <x:v>1.5</x:v>
      </x:c>
      <x:c r="H9" s="34"/>
      <x:c r="I9" s="34" t="str">
        <x:f>IF(OR(G9="",H9=""),"",G9*H9)</x:f>
      </x:c>
      <x:c r="J9" s="17" t="str">
        <x:v>批次名称格式：YYYY年MM月｜自定义标题</x:v>
      </x:c>
    </x:row>
    <x:row r="10" ht="36" customHeight="1">
      <x:c r="A10" s="17" t="n">
        <x:v>6</x:v>
      </x:c>
      <x:c r="B10" s="17" t="str">
        <x:v>批次管理</x:v>
      </x:c>
      <x:c r="C10" s="17" t="str">
        <x:v>批次导入</x:v>
      </x:c>
      <x:c r="D10" s="17" t="str">
        <x:v>上传 Excel，写入达人、视频、用户和截图数据</x:v>
      </x:c>
      <x:c r="E10" s="17" t="str">
        <x:v>管理员</x:v>
      </x:c>
      <x:c r="F10" s="17" t="str">
        <x:v>已实现</x:v>
      </x:c>
      <x:c r="G10" s="36" t="n">
        <x:v>2.5</x:v>
      </x:c>
      <x:c r="H10" s="34"/>
      <x:c r="I10" s="34" t="str">
        <x:f>IF(OR(G10="",H10=""),"",G10*H10)</x:f>
      </x:c>
      <x:c r="J10" s="17" t="str">
        <x:v>导入失败整体回滚，草稿可重复导入</x:v>
      </x:c>
    </x:row>
    <x:row r="11" ht="36" customHeight="1">
      <x:c r="A11" s="17" t="n">
        <x:v>7</x:v>
      </x:c>
      <x:c r="B11" s="17" t="str">
        <x:v>批次管理</x:v>
      </x:c>
      <x:c r="C11" s="17" t="str">
        <x:v>发布批次</x:v>
      </x:c>
      <x:c r="D11" s="17" t="str">
        <x:v>草稿发布为当前批次，旧当前批次自动转历史</x:v>
      </x:c>
      <x:c r="E11" s="17" t="str">
        <x:v>管理员</x:v>
      </x:c>
      <x:c r="F11" s="17" t="str">
        <x:v>已实现</x:v>
      </x:c>
      <x:c r="G11" s="36" t="n">
        <x:v>1.5</x:v>
      </x:c>
      <x:c r="H11" s="34"/>
      <x:c r="I11" s="34" t="str">
        <x:f>IF(OR(G11="",H11=""),"",G11*H11)</x:f>
      </x:c>
      <x:c r="J11" s="17" t="str">
        <x:v>发布前用户继续使用旧当前批次</x:v>
      </x:c>
    </x:row>
    <x:row r="12" ht="36" customHeight="1">
      <x:c r="A12" s="17" t="n">
        <x:v>8</x:v>
      </x:c>
      <x:c r="B12" s="17" t="str">
        <x:v>批次管理</x:v>
      </x:c>
      <x:c r="C12" s="17" t="str">
        <x:v>撤销批次</x:v>
      </x:c>
      <x:c r="D12" s="17" t="str">
        <x:v>撤销当前发布，恢复上一个已发布批次</x:v>
      </x:c>
      <x:c r="E12" s="17" t="str">
        <x:v>管理员</x:v>
      </x:c>
      <x:c r="F12" s="17" t="str">
        <x:v>已实现</x:v>
      </x:c>
      <x:c r="G12" s="36" t="n">
        <x:v>1.5</x:v>
      </x:c>
      <x:c r="H12" s="34"/>
      <x:c r="I12" s="34" t="str">
        <x:f>IF(OR(G12="",H12=""),"",G12*H12)</x:f>
      </x:c>
      <x:c r="J12" s="17" t="str">
        <x:v>用于发布后的回退</x:v>
      </x:c>
    </x:row>
    <x:row r="13" ht="36" customHeight="1">
      <x:c r="A13" s="17" t="n">
        <x:v>9</x:v>
      </x:c>
      <x:c r="B13" s="17" t="str">
        <x:v>批次管理</x:v>
      </x:c>
      <x:c r="C13" s="17" t="str">
        <x:v>删除草稿</x:v>
      </x:c>
      <x:c r="D13" s="17" t="str">
        <x:v>删除未发布批次及其导入数据</x:v>
      </x:c>
      <x:c r="E13" s="17" t="str">
        <x:v>管理员</x:v>
      </x:c>
      <x:c r="F13" s="17" t="str">
        <x:v>已实现</x:v>
      </x:c>
      <x:c r="G13" s="36" t="n">
        <x:v>1</x:v>
      </x:c>
      <x:c r="H13" s="34"/>
      <x:c r="I13" s="34" t="str">
        <x:f>IF(OR(G13="",H13=""),"",G13*H13)</x:f>
      </x:c>
      <x:c r="J13" s="17" t="str">
        <x:v>当前和历史批次不可删除</x:v>
      </x:c>
    </x:row>
    <x:row r="14" ht="36" customHeight="1">
      <x:c r="A14" s="17" t="n">
        <x:v>10</x:v>
      </x:c>
      <x:c r="B14" s="17" t="str">
        <x:v>批次管理</x:v>
      </x:c>
      <x:c r="C14" s="17" t="str">
        <x:v>批次切换与只读</x:v>
      </x:c>
      <x:c r="D14" s="17" t="str">
        <x:v>按批次查看数据，历史批次只读，用户仅看到有数据的批次</x:v>
      </x:c>
      <x:c r="E14" s="17" t="str">
        <x:v>管理员/普通用户</x:v>
      </x:c>
      <x:c r="F14" s="17" t="str">
        <x:v>已实现</x:v>
      </x:c>
      <x:c r="G14" s="36" t="n">
        <x:v>2</x:v>
      </x:c>
      <x:c r="H14" s="34"/>
      <x:c r="I14" s="34" t="str">
        <x:f>IF(OR(G14="",H14=""),"",G14*H14)</x:f>
      </x:c>
      <x:c r="J14" s="17" t="str">
        <x:v>批次数据不跨期合并</x:v>
      </x:c>
    </x:row>
    <x:row r="15" ht="36" customHeight="1">
      <x:c r="A15" s="17" t="n">
        <x:v>11</x:v>
      </x:c>
      <x:c r="B15" s="17" t="str">
        <x:v>达人数据管理</x:v>
      </x:c>
      <x:c r="C15" s="17" t="str">
        <x:v>达人列表</x:v>
      </x:c>
      <x:c r="D15" s="17" t="str">
        <x:v>展示昵称、机构、内容类型、达人分类、平台、账号、粉丝数等</x:v>
      </x:c>
      <x:c r="E15" s="17" t="str">
        <x:v>管理员/普通用户</x:v>
      </x:c>
      <x:c r="F15" s="17" t="str">
        <x:v>已实现</x:v>
      </x:c>
      <x:c r="G15" s="36" t="n">
        <x:v>1.5</x:v>
      </x:c>
      <x:c r="H15" s="34"/>
      <x:c r="I15" s="34" t="str">
        <x:f>IF(OR(G15="",H15=""),"",G15*H15)</x:f>
      </x:c>
      <x:c r="J15" s="17" t="str">
        <x:v>支持分页</x:v>
      </x:c>
    </x:row>
    <x:row r="16" ht="36" customHeight="1">
      <x:c r="A16" s="17" t="n">
        <x:v>12</x:v>
      </x:c>
      <x:c r="B16" s="17" t="str">
        <x:v>达人数据管理</x:v>
      </x:c>
      <x:c r="C16" s="17" t="str">
        <x:v>达人搜索</x:v>
      </x:c>
      <x:c r="D16" s="17" t="str">
        <x:v>按昵称搜索达人</x:v>
      </x:c>
      <x:c r="E16" s="17" t="str">
        <x:v>管理员/普通用户</x:v>
      </x:c>
      <x:c r="F16" s="17" t="str">
        <x:v>已实现</x:v>
      </x:c>
      <x:c r="G16" s="36" t="n">
        <x:v>0.5</x:v>
      </x:c>
      <x:c r="H16" s="34"/>
      <x:c r="I16" s="34" t="str">
        <x:f>IF(OR(G16="",H16=""),"",G16*H16)</x:f>
      </x:c>
      <x:c r="J16" s="17" t="str">
        <x:v>输入后延迟查询</x:v>
      </x:c>
    </x:row>
    <x:row r="17" ht="36" customHeight="1">
      <x:c r="A17" s="17" t="n">
        <x:v>13</x:v>
      </x:c>
      <x:c r="B17" s="17" t="str">
        <x:v>达人数据管理</x:v>
      </x:c>
      <x:c r="C17" s="17" t="str">
        <x:v>达人分类筛选</x:v>
      </x:c>
      <x:c r="D17" s="17" t="str">
        <x:v>从当前批次实际数据去重生成分类选项</x:v>
      </x:c>
      <x:c r="E17" s="17" t="str">
        <x:v>管理员</x:v>
      </x:c>
      <x:c r="F17" s="17" t="str">
        <x:v>已实现</x:v>
      </x:c>
      <x:c r="G17" s="36" t="n">
        <x:v>1</x:v>
      </x:c>
      <x:c r="H17" s="34"/>
      <x:c r="I17" s="34" t="str">
        <x:f>IF(OR(G17="",H17=""),"",G17*H17)</x:f>
      </x:c>
      <x:c r="J17" s="17" t="str">
        <x:v>不使用固定乱序选项</x:v>
      </x:c>
    </x:row>
    <x:row r="18" ht="36" customHeight="1">
      <x:c r="A18" s="17" t="n">
        <x:v>14</x:v>
      </x:c>
      <x:c r="B18" s="17" t="str">
        <x:v>达人数据管理</x:v>
      </x:c>
      <x:c r="C18" s="17" t="str">
        <x:v>内容类型筛选</x:v>
      </x:c>
      <x:c r="D18" s="17" t="str">
        <x:v>从当前批次实际数据去重生成内容类型选项</x:v>
      </x:c>
      <x:c r="E18" s="17" t="str">
        <x:v>管理员</x:v>
      </x:c>
      <x:c r="F18" s="17" t="str">
        <x:v>已实现</x:v>
      </x:c>
      <x:c r="G18" s="36" t="n">
        <x:v>1</x:v>
      </x:c>
      <x:c r="H18" s="34"/>
      <x:c r="I18" s="34" t="str">
        <x:f>IF(OR(G18="",H18=""),"",G18*H18)</x:f>
      </x:c>
      <x:c r="J18" s="17" t="str">
        <x:v>与批次绑定</x:v>
      </x:c>
    </x:row>
    <x:row r="19" ht="36" customHeight="1">
      <x:c r="A19" s="17" t="n">
        <x:v>15</x:v>
      </x:c>
      <x:c r="B19" s="17" t="str">
        <x:v>达人数据管理</x:v>
      </x:c>
      <x:c r="C19" s="17" t="str">
        <x:v>确认状态统计</x:v>
      </x:c>
      <x:c r="D19" s="17" t="str">
        <x:v>统计待确认、已确认、已提交申诉的达人数量</x:v>
      </x:c>
      <x:c r="E19" s="17" t="str">
        <x:v>管理员</x:v>
      </x:c>
      <x:c r="F19" s="17" t="str">
        <x:v>已实现</x:v>
      </x:c>
      <x:c r="G19" s="36" t="n">
        <x:v>1</x:v>
      </x:c>
      <x:c r="H19" s="34"/>
      <x:c r="I19" s="34" t="str">
        <x:f>IF(OR(G19="",H19=""),"",G19*H19)</x:f>
      </x:c>
      <x:c r="J19" s="17" t="str">
        <x:v>按当前批次计算</x:v>
      </x:c>
    </x:row>
    <x:row r="20" ht="36" customHeight="1">
      <x:c r="A20" s="17" t="n">
        <x:v>16</x:v>
      </x:c>
      <x:c r="B20" s="17" t="str">
        <x:v>达人数据管理</x:v>
      </x:c>
      <x:c r="C20" s="17" t="str">
        <x:v>批量删除达人</x:v>
      </x:c>
      <x:c r="D20" s="17" t="str">
        <x:v>删除当前批次达人、视频、截图；必要时清理用户账号</x:v>
      </x:c>
      <x:c r="E20" s="17" t="str">
        <x:v>管理员</x:v>
      </x:c>
      <x:c r="F20" s="17" t="str">
        <x:v>已实现</x:v>
      </x:c>
      <x:c r="G20" s="36" t="n">
        <x:v>1.5</x:v>
      </x:c>
      <x:c r="H20" s="34"/>
      <x:c r="I20" s="34" t="str">
        <x:f>IF(OR(G20="",H20=""),"",G20*H20)</x:f>
      </x:c>
      <x:c r="J20" s="17" t="str">
        <x:v>整批校验，避免半成功</x:v>
      </x:c>
    </x:row>
    <x:row r="21" ht="36" customHeight="1">
      <x:c r="A21" s="17" t="n">
        <x:v>17</x:v>
      </x:c>
      <x:c r="B21" s="17" t="str">
        <x:v>视频数据核对</x:v>
      </x:c>
      <x:c r="C21" s="17" t="str">
        <x:v>视频明细</x:v>
      </x:c>
      <x:c r="D21" s="17" t="str">
        <x:v>查看达人全部平台的视频和数据指标</x:v>
      </x:c>
      <x:c r="E21" s="17" t="str">
        <x:v>管理员/普通用户</x:v>
      </x:c>
      <x:c r="F21" s="17" t="str">
        <x:v>已实现</x:v>
      </x:c>
      <x:c r="G21" s="36" t="n">
        <x:v>2</x:v>
      </x:c>
      <x:c r="H21" s="34"/>
      <x:c r="I21" s="34" t="str">
        <x:f>IF(OR(G21="",H21=""),"",G21*H21)</x:f>
      </x:c>
      <x:c r="J21" s="17" t="str">
        <x:v>抖音、快手、B站</x:v>
      </x:c>
    </x:row>
    <x:row r="22" ht="36" customHeight="1">
      <x:c r="A22" s="17" t="n">
        <x:v>18</x:v>
      </x:c>
      <x:c r="B22" s="17" t="str">
        <x:v>视频数据核对</x:v>
      </x:c>
      <x:c r="C22" s="17" t="str">
        <x:v>视频筛选</x:v>
      </x:c>
      <x:c r="D22" s="17" t="str">
        <x:v>按平台、违规、合规和标题筛选</x:v>
      </x:c>
      <x:c r="E22" s="17" t="str">
        <x:v>管理员/普通用户</x:v>
      </x:c>
      <x:c r="F22" s="17" t="str">
        <x:v>已实现</x:v>
      </x:c>
      <x:c r="G22" s="36" t="n">
        <x:v>1</x:v>
      </x:c>
      <x:c r="H22" s="34"/>
      <x:c r="I22" s="34" t="str">
        <x:f>IF(OR(G22="",H22=""),"",G22*H22)</x:f>
      </x:c>
      <x:c r="J22" s="17" t="str">
        <x:v>服务端筛选和分页</x:v>
      </x:c>
    </x:row>
    <x:row r="23" ht="36" customHeight="1">
      <x:c r="A23" s="17" t="n">
        <x:v>19</x:v>
      </x:c>
      <x:c r="B23" s="17" t="str">
        <x:v>视频数据核对</x:v>
      </x:c>
      <x:c r="C23" s="17" t="str">
        <x:v>行内编辑</x:v>
      </x:c>
      <x:c r="D23" s="17" t="str">
        <x:v>编辑标题、标签、链接、发布时间、播放互动指标等字段</x:v>
      </x:c>
      <x:c r="E23" s="17" t="str">
        <x:v>管理员/普通用户</x:v>
      </x:c>
      <x:c r="F23" s="17" t="str">
        <x:v>已实现</x:v>
      </x:c>
      <x:c r="G23" s="36" t="n">
        <x:v>2</x:v>
      </x:c>
      <x:c r="H23" s="34"/>
      <x:c r="I23" s="34" t="str">
        <x:f>IF(OR(G23="",H23=""),"",G23*H23)</x:f>
      </x:c>
      <x:c r="J23" s="17" t="str">
        <x:v>普通用户受可编辑列配置限制</x:v>
      </x:c>
    </x:row>
    <x:row r="24" ht="36" customHeight="1">
      <x:c r="A24" s="17" t="n">
        <x:v>20</x:v>
      </x:c>
      <x:c r="B24" s="17" t="str">
        <x:v>视频数据核对</x:v>
      </x:c>
      <x:c r="C24" s="17" t="str">
        <x:v>违规/合规状态编辑</x:v>
      </x:c>
      <x:c r="D24" s="17" t="str">
        <x:v>管理员可通过下拉框编辑违规和合规状态</x:v>
      </x:c>
      <x:c r="E24" s="17" t="str">
        <x:v>管理员</x:v>
      </x:c>
      <x:c r="F24" s="17" t="str">
        <x:v>已实现</x:v>
      </x:c>
      <x:c r="G24" s="36" t="n">
        <x:v>0.5</x:v>
      </x:c>
      <x:c r="H24" s="34"/>
      <x:c r="I24" s="34" t="str">
        <x:f>IF(OR(G24="",H24=""),"",G24*H24)</x:f>
      </x:c>
      <x:c r="J24" s="17" t="str">
        <x:v>违规：未违规/违规；合规：不合规/合规</x:v>
      </x:c>
    </x:row>
    <x:row r="25" ht="36" customHeight="1">
      <x:c r="A25" s="17" t="n">
        <x:v>21</x:v>
      </x:c>
      <x:c r="B25" s="17" t="str">
        <x:v>视频数据核对</x:v>
      </x:c>
      <x:c r="C25" s="17" t="str">
        <x:v>截图上传与替换</x:v>
      </x:c>
      <x:c r="D25" s="17" t="str">
        <x:v>上传或替换播放、点赞、7日数据截图</x:v>
      </x:c>
      <x:c r="E25" s="17" t="str">
        <x:v>管理员/普通用户</x:v>
      </x:c>
      <x:c r="F25" s="17" t="str">
        <x:v>已实现</x:v>
      </x:c>
      <x:c r="G25" s="36" t="n">
        <x:v>1.5</x:v>
      </x:c>
      <x:c r="H25" s="34"/>
      <x:c r="I25" s="34" t="str">
        <x:f>IF(OR(G25="",H25=""),"",G25*H25)</x:f>
      </x:c>
      <x:c r="J25" s="17" t="str">
        <x:v>限制本地 uploads 路径和文件类型</x:v>
      </x:c>
    </x:row>
    <x:row r="26" ht="36" customHeight="1">
      <x:c r="A26" s="17" t="n">
        <x:v>22</x:v>
      </x:c>
      <x:c r="B26" s="17" t="str">
        <x:v>视频数据核对</x:v>
      </x:c>
      <x:c r="C26" s="17" t="str">
        <x:v>异常数据标记</x:v>
      </x:c>
      <x:c r="D26" s="17" t="str">
        <x:v>识别导入 Excel 红色单元格，前端和导出保留异常标识</x:v>
      </x:c>
      <x:c r="E26" s="17" t="str">
        <x:v>管理员/普通用户</x:v>
      </x:c>
      <x:c r="F26" s="17" t="str">
        <x:v>已实现</x:v>
      </x:c>
      <x:c r="G26" s="36" t="n">
        <x:v>1.5</x:v>
      </x:c>
      <x:c r="H26" s="34"/>
      <x:c r="I26" s="34" t="str">
        <x:f>IF(OR(G26="",H26=""),"",G26*H26)</x:f>
      </x:c>
      <x:c r="J26" s="17" t="str">
        <x:v>异常字段存储为 JSON</x:v>
      </x:c>
    </x:row>
    <x:row r="27" ht="36" customHeight="1">
      <x:c r="A27" s="17" t="n">
        <x:v>23</x:v>
      </x:c>
      <x:c r="B27" s="17" t="str">
        <x:v>视频数据核对</x:v>
      </x:c>
      <x:c r="C27" s="17" t="str">
        <x:v>达人确认流程</x:v>
      </x:c>
      <x:c r="D27" s="17" t="str">
        <x:v>待确认、已确认、已提交申诉三态流转</x:v>
      </x:c>
      <x:c r="E27" s="17" t="str">
        <x:v>管理员/普通用户</x:v>
      </x:c>
      <x:c r="F27" s="17" t="str">
        <x:v>已实现</x:v>
      </x:c>
      <x:c r="G27" s="36" t="n">
        <x:v>1.5</x:v>
      </x:c>
      <x:c r="H27" s="34"/>
      <x:c r="I27" s="34" t="str">
        <x:f>IF(OR(G27="",H27=""),"",G27*H27)</x:f>
      </x:c>
      <x:c r="J27" s="17" t="str">
        <x:v>用户修改或上传截图后回到待确认</x:v>
      </x:c>
    </x:row>
    <x:row r="28" ht="36" customHeight="1">
      <x:c r="A28" s="17" t="n">
        <x:v>24</x:v>
      </x:c>
      <x:c r="B28" s="17" t="str">
        <x:v>视频数据核对</x:v>
      </x:c>
      <x:c r="C28" s="17" t="str">
        <x:v>共创作品支持</x:v>
      </x:c>
      <x:c r="D28" s="17" t="str">
        <x:v>同一作品 ID 可关联多个共创达人，按内部视频 ID 独立编辑</x:v>
      </x:c>
      <x:c r="E28" s="17" t="str">
        <x:v>管理员/普通用户</x:v>
      </x:c>
      <x:c r="F28" s="17" t="str">
        <x:v>已实现</x:v>
      </x:c>
      <x:c r="G28" s="36" t="n">
        <x:v>1</x:v>
      </x:c>
      <x:c r="H28" s="34"/>
      <x:c r="I28" s="34" t="str">
        <x:f>IF(OR(G28="",H28=""),"",G28*H28)</x:f>
      </x:c>
      <x:c r="J28" s="17" t="str">
        <x:v>避免 work_id 冲突</x:v>
      </x:c>
    </x:row>
    <x:row r="29" ht="36" customHeight="1">
      <x:c r="A29" s="17" t="n">
        <x:v>25</x:v>
      </x:c>
      <x:c r="B29" s="17" t="str">
        <x:v>Excel 导入导出</x:v>
      </x:c>
      <x:c r="C29" s="17" t="str">
        <x:v>Excel 格式校验</x:v>
      </x:c>
      <x:c r="D29" s="17" t="str">
        <x:v>校验必需表头，兼容历史表头别名并映射字段</x:v>
      </x:c>
      <x:c r="E29" s="17" t="str">
        <x:v>管理员</x:v>
      </x:c>
      <x:c r="F29" s="17" t="str">
        <x:v>已实现</x:v>
      </x:c>
      <x:c r="G29" s="36" t="n">
        <x:v>1.5</x:v>
      </x:c>
      <x:c r="H29" s="34"/>
      <x:c r="I29" s="34" t="str">
        <x:f>IF(OR(G29="",H29=""),"",G29*H29)</x:f>
      </x:c>
      <x:c r="J29" s="17" t="str">
        <x:v>导入前发现缺列直接提示</x:v>
      </x:c>
    </x:row>
    <x:row r="30" ht="36" customHeight="1">
      <x:c r="A30" s="17" t="n">
        <x:v>26</x:v>
      </x:c>
      <x:c r="B30" s="17" t="str">
        <x:v>Excel 导入导出</x:v>
      </x:c>
      <x:c r="C30" s="17" t="str">
        <x:v>Excel 数据导入</x:v>
      </x:c>
      <x:c r="D30" s="17" t="str">
        <x:v>按批次导入达人和视频，重复达人/作品按规则更新</x:v>
      </x:c>
      <x:c r="E30" s="17" t="str">
        <x:v>管理员</x:v>
      </x:c>
      <x:c r="F30" s="17" t="str">
        <x:v>已实现</x:v>
      </x:c>
      <x:c r="G30" s="36" t="n">
        <x:v>2.5</x:v>
      </x:c>
      <x:c r="H30" s="34"/>
      <x:c r="I30" s="34" t="str">
        <x:f>IF(OR(G30="",H30=""),"",G30*H30)</x:f>
      </x:c>
      <x:c r="J30" s="17" t="str">
        <x:v>支持同批次重复导入</x:v>
      </x:c>
    </x:row>
    <x:row r="31" ht="36" customHeight="1">
      <x:c r="A31" s="17" t="n">
        <x:v>27</x:v>
      </x:c>
      <x:c r="B31" s="17" t="str">
        <x:v>Excel 导入导出</x:v>
      </x:c>
      <x:c r="C31" s="17" t="str">
        <x:v>导出当前批次</x:v>
      </x:c>
      <x:c r="D31" s="17" t="str">
        <x:v>导出所选批次完整数据，不受列表筛选影响</x:v>
      </x:c>
      <x:c r="E31" s="17" t="str">
        <x:v>管理员</x:v>
      </x:c>
      <x:c r="F31" s="17" t="str">
        <x:v>已实现</x:v>
      </x:c>
      <x:c r="G31" s="36" t="n">
        <x:v>1.5</x:v>
      </x:c>
      <x:c r="H31" s="34"/>
      <x:c r="I31" s="34" t="str">
        <x:f>IF(OR(G31="",H31=""),"",G31*H31)</x:f>
      </x:c>
      <x:c r="J31" s="17" t="str">
        <x:v>文件名带批次名称</x:v>
      </x:c>
    </x:row>
    <x:row r="32" ht="36" customHeight="1">
      <x:c r="A32" s="17" t="n">
        <x:v>28</x:v>
      </x:c>
      <x:c r="B32" s="17" t="str">
        <x:v>Excel 导入导出</x:v>
      </x:c>
      <x:c r="C32" s="17" t="str">
        <x:v>WPS 单元格图片</x:v>
      </x:c>
      <x:c r="D32" s="17" t="str">
        <x:v>截图以 WPS 原生 DISPIMG + cellimages 结构嵌入单元格</x:v>
      </x:c>
      <x:c r="E32" s="17" t="str">
        <x:v>管理员</x:v>
      </x:c>
      <x:c r="F32" s="17" t="str">
        <x:v>已实现</x:v>
      </x:c>
      <x:c r="G32" s="36" t="n">
        <x:v>3</x:v>
      </x:c>
      <x:c r="H32" s="34"/>
      <x:c r="I32" s="34" t="str">
        <x:f>IF(OR(G32="",H32=""),"",G32*H32)</x:f>
      </x:c>
      <x:c r="J32" s="17" t="str">
        <x:v>优先兼容 WPS；不是浮动图片</x:v>
      </x:c>
    </x:row>
    <x:row r="33" ht="36" customHeight="1">
      <x:c r="A33" s="17" t="n">
        <x:v>29</x:v>
      </x:c>
      <x:c r="B33" s="17" t="str">
        <x:v>Excel 导入导出</x:v>
      </x:c>
      <x:c r="C33" s="17" t="str">
        <x:v>导出异常高亮与顺序</x:v>
      </x:c>
      <x:c r="D33" s="17" t="str">
        <x:v>保留异常红色背景，按原始视频插入顺序导出</x:v>
      </x:c>
      <x:c r="E33" s="17" t="str">
        <x:v>管理员</x:v>
      </x:c>
      <x:c r="F33" s="17" t="str">
        <x:v>已实现</x:v>
      </x:c>
      <x:c r="G33" s="36" t="n">
        <x:v>1</x:v>
      </x:c>
      <x:c r="H33" s="34"/>
      <x:c r="I33" s="34" t="str">
        <x:f>IF(OR(G33="",H33=""),"",G33*H33)</x:f>
      </x:c>
      <x:c r="J33" s="17" t="str">
        <x:v>便于核对源 Excel</x:v>
      </x:c>
    </x:row>
    <x:row r="34" ht="36" customHeight="1">
      <x:c r="A34" s="17" t="n">
        <x:v>30</x:v>
      </x:c>
      <x:c r="B34" s="17" t="str">
        <x:v>系统配置与体验</x:v>
      </x:c>
      <x:c r="C34" s="17" t="str">
        <x:v>可编辑列配置</x:v>
      </x:c>
      <x:c r="D34" s="17" t="str">
        <x:v>管理员配置普通用户可编辑的视频字段</x:v>
      </x:c>
      <x:c r="E34" s="17" t="str">
        <x:v>管理员</x:v>
      </x:c>
      <x:c r="F34" s="17" t="str">
        <x:v>已实现</x:v>
      </x:c>
      <x:c r="G34" s="36" t="n">
        <x:v>1</x:v>
      </x:c>
      <x:c r="H34" s="34"/>
      <x:c r="I34" s="34" t="str">
        <x:f>IF(OR(G34="",H34=""),"",G34*H34)</x:f>
      </x:c>
      <x:c r="J34" s="17" t="str">
        <x:v>全局配置</x:v>
      </x:c>
    </x:row>
    <x:row r="35" ht="36" customHeight="1">
      <x:c r="A35" s="17" t="n">
        <x:v>31</x:v>
      </x:c>
      <x:c r="B35" s="17" t="str">
        <x:v>系统配置与体验</x:v>
      </x:c>
      <x:c r="C35" s="17" t="str">
        <x:v>数据核对工作台</x:v>
      </x:c>
      <x:c r="D35" s="17" t="str">
        <x:v>用户登录后进入本期数据核对工作区</x:v>
      </x:c>
      <x:c r="E35" s="17" t="str">
        <x:v>普通用户</x:v>
      </x:c>
      <x:c r="F35" s="17" t="str">
        <x:v>已实现</x:v>
      </x:c>
      <x:c r="G35" s="36" t="n">
        <x:v>1</x:v>
      </x:c>
      <x:c r="H35" s="34"/>
      <x:c r="I35" s="34" t="str">
        <x:f>IF(OR(G35="",H35=""),"",G35*H35)</x:f>
      </x:c>
      <x:c r="J35" s="17" t="str">
        <x:v>费用核对入口暂为占位</x:v>
      </x:c>
    </x:row>
    <x:row r="36" ht="36" customHeight="1">
      <x:c r="A36" s="17" t="n">
        <x:v>32</x:v>
      </x:c>
      <x:c r="B36" s="17" t="str">
        <x:v>系统配置与体验</x:v>
      </x:c>
      <x:c r="C36" s="17" t="str">
        <x:v>响应式导航</x:v>
      </x:c>
      <x:c r="D36" s="17" t="str">
        <x:v>适配桌面端和移动端的角色导航与模块入口</x:v>
      </x:c>
      <x:c r="E36" s="17" t="str">
        <x:v>管理员/普通用户</x:v>
      </x:c>
      <x:c r="F36" s="17" t="str">
        <x:v>已实现</x:v>
      </x:c>
      <x:c r="G36" s="36" t="n">
        <x:v>1</x:v>
      </x:c>
      <x:c r="H36" s="34"/>
      <x:c r="I36" s="34" t="str">
        <x:f>IF(OR(G36="",H36=""),"",G36*H36)</x:f>
      </x:c>
      <x:c r="J36" s="17" t="str">
        <x:v>无额外路由库</x:v>
      </x:c>
    </x:row>
    <x:row r="37" ht="36" customHeight="1">
      <x:c r="A37" s="17" t="n">
        <x:v>33</x:v>
      </x:c>
      <x:c r="B37" s="17" t="str">
        <x:v>系统配置与体验</x:v>
      </x:c>
      <x:c r="C37" s="17" t="str">
        <x:v>支持平台</x:v>
      </x:c>
      <x:c r="D37" s="17" t="str">
        <x:v>抖音、快手、B站平台字段和标签展示</x:v>
      </x:c>
      <x:c r="E37" s="17" t="str">
        <x:v>管理员/普通用户</x:v>
      </x:c>
      <x:c r="F37" s="17" t="str">
        <x:v>已实现</x:v>
      </x:c>
      <x:c r="G37" s="36" t="n">
        <x:v>0.5</x:v>
      </x:c>
      <x:c r="H37" s="34"/>
      <x:c r="I37" s="34" t="str">
        <x:f>IF(OR(G37="",H37=""),"",G37*H37)</x:f>
      </x:c>
      <x:c r="J37" s="17" t="str">
        <x:v>平台枚举已内置</x:v>
      </x:c>
    </x:row>
    <x:row r="38">
      <x:c r="A38" s="20" t="str"/>
      <x:c r="B38" s="20" t="str"/>
      <x:c r="C38" s="20" t="str">
        <x:v>合计</x:v>
      </x:c>
      <x:c r="D38" s="20" t="str"/>
      <x:c r="E38" s="20" t="str"/>
      <x:c r="F38" s="20" t="str"/>
      <x:c r="G38" s="37" t="n">
        <x:f>SUM(G5:G37)</x:f>
        <x:v>46</x:v>
      </x:c>
      <x:c r="H38" s="35" t="str"/>
      <x:c r="I38" s="35" t="str">
        <x:f>IF(COUNT(I5:I37)=0,"",SUM(I5:I37))</x:f>
      </x:c>
      <x:c r="J38" s="20" t="str"/>
    </x:row>
  </x:sheetData>
  <x:mergeCells>
    <x:mergeCell ref="A1:J1"/>
    <x:mergeCell ref="A2:J2"/>
  </x:mergeCells>
  <x:dataValidations count="1">
    <x:dataValidation type="list" sqref="F5:F37">
      <x:formula1>"已实现,占位/待开发,边界"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14" hidden="0" customWidth="1"/>
    <x:col min="5" max="5" width="44" hidden="0" customWidth="1"/>
    <x:col min="6" max="6" width="38" hidden="0" customWidth="1"/>
  </x:cols>
  <x:sheetData>
    <x:row r="1" ht="30" customHeight="1">
      <x:c r="A1" s="4" t="str">
        <x:v>待开发项与报价边界</x:v>
      </x:c>
      <x:c r="B1" s="4"/>
      <x:c r="C1" s="4"/>
      <x:c r="D1" s="4"/>
      <x:c r="E1" s="4"/>
      <x:c r="F1" s="4"/>
    </x:row>
    <x:row r="2" ht="22" customHeight="1">
      <x:c r="A2" s="8" t="str">
        <x:v>以下内容在当前版本未完成，避免报价清单把占位入口误认为已交付功能</x:v>
      </x:c>
      <x:c r="B2" s="8"/>
      <x:c r="C2" s="8"/>
      <x:c r="D2" s="8"/>
      <x:c r="E2" s="8"/>
      <x:c r="F2" s="8"/>
    </x:row>
    <x:row r="4" ht="30" customHeight="1">
      <x:c r="A4" s="14" t="str">
        <x:v>序号</x:v>
      </x:c>
      <x:c r="B4" s="14" t="str">
        <x:v>模块</x:v>
      </x:c>
      <x:c r="C4" s="14" t="str">
        <x:v>需求项</x:v>
      </x:c>
      <x:c r="D4" s="14" t="str">
        <x:v>当前状态</x:v>
      </x:c>
      <x:c r="E4" s="14" t="str">
        <x:v>后续交付范围</x:v>
      </x:c>
      <x:c r="F4" s="14" t="str">
        <x:v>备注</x:v>
      </x:c>
    </x:row>
    <x:row r="5" ht="44" customHeight="1">
      <x:c r="A5" s="17" t="n">
        <x:v>1</x:v>
      </x:c>
      <x:c r="B5" s="17" t="str">
        <x:v>达人账号管理</x:v>
      </x:c>
      <x:c r="C5" s="17" t="str">
        <x:v>按批次生成/管理达人账号，导出账号清单</x:v>
      </x:c>
      <x:c r="D5" s="40" t="str">
        <x:v>待开发</x:v>
      </x:c>
      <x:c r="E5" s="17" t="str">
        <x:v>批次账号列表、账号去重、批次范围导出</x:v>
      </x:c>
      <x:c r="F5" s="17" t="str">
        <x:v>账号是全局复用还是按批次生成需最终确认</x:v>
      </x:c>
    </x:row>
    <x:row r="6" ht="44" customHeight="1">
      <x:c r="A6" s="17" t="n">
        <x:v>2</x:v>
      </x:c>
      <x:c r="B6" s="17" t="str">
        <x:v>初始密码</x:v>
      </x:c>
      <x:c r="C6" s="17" t="str">
        <x:v>为新达人账号生成初始随机码并导出</x:v>
      </x:c>
      <x:c r="D6" s="40" t="str">
        <x:v>暂缓</x:v>
      </x:c>
      <x:c r="E6" s="17" t="str">
        <x:v>随机码生成、重置、一次性导出和安全展示</x:v>
      </x:c>
      <x:c r="F6" s="17" t="str">
        <x:v>当前版本仍未开放密码导出</x:v>
      </x:c>
    </x:row>
    <x:row r="7" ht="44" customHeight="1">
      <x:c r="A7" s="17" t="n">
        <x:v>3</x:v>
      </x:c>
      <x:c r="B7" s="17" t="str">
        <x:v>费用核对</x:v>
      </x:c>
      <x:c r="C7" s="17" t="str">
        <x:v>本期费用核对工作区</x:v>
      </x:c>
      <x:c r="D7" s="40" t="str">
        <x:v>占位</x:v>
      </x:c>
      <x:c r="E7" s="17" t="str">
        <x:v>费用数据导入、核对、差异标记和导出</x:v>
      </x:c>
      <x:c r="F7" s="17" t="str">
        <x:v>当前仅有入口和开发中提示</x:v>
      </x:c>
    </x:row>
    <x:row r="8" ht="44" customHeight="1">
      <x:c r="A8" s="17" t="n">
        <x:v>4</x:v>
      </x:c>
      <x:c r="B8" s="17" t="str">
        <x:v>跨客户端导出</x:v>
      </x:c>
      <x:c r="C8" s="17" t="str">
        <x:v>同时兼容 WPS 与 Microsoft Excel 的单元格图片</x:v>
      </x:c>
      <x:c r="D8" s="40" t="str">
        <x:v>边界</x:v>
      </x:c>
      <x:c r="E8" s="17" t="str">
        <x:v>按客户端提供独立导出格式或兼容策略</x:v>
      </x:c>
      <x:c r="F8" s="17" t="str">
        <x:v>当前导出优先支持 WPS 原生单元格图片</x:v>
      </x:c>
    </x:row>
  </x:sheetData>
  <x:mergeCells>
    <x:mergeCell ref="A1:F1"/>
    <x:mergeCell ref="A2:F2"/>
  </x:mergeCells>
  <x:pageMargins left="0.7" right="0.7" top="0.75" bottom="0.75" header="0.3" footer="0.3"/>
</x:worksheet>
</file>